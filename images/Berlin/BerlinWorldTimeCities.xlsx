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onatomic-clock\images\"/>
    </mc:Choice>
  </mc:AlternateContent>
  <xr:revisionPtr revIDLastSave="0" documentId="13_ncr:1_{0825D663-84E5-44C4-AE00-82DB358B2438}" xr6:coauthVersionLast="47" xr6:coauthVersionMax="47" xr10:uidLastSave="{00000000-0000-0000-0000-000000000000}"/>
  <bookViews>
    <workbookView xWindow="-96" yWindow="-96" windowWidth="23232" windowHeight="12432" xr2:uid="{2504CD30-0655-4855-BBCC-72470D5DA334}"/>
  </bookViews>
  <sheets>
    <sheet name="FinalTab" sheetId="2" r:id="rId1"/>
    <sheet name="NorthSouth" sheetId="3" r:id="rId2"/>
  </sheets>
  <definedNames>
    <definedName name="_xlnm._FilterDatabase" localSheetId="1" hidden="1">NorthSouth!$A$1:$O$138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" i="2" l="1"/>
  <c r="M6" i="3"/>
  <c r="M7" i="3"/>
  <c r="M11" i="3"/>
  <c r="M35" i="3"/>
  <c r="A138" i="3"/>
  <c r="A137" i="3"/>
  <c r="C136" i="3"/>
  <c r="C137" i="3" s="1"/>
  <c r="D137" i="3" s="1"/>
  <c r="E137" i="3" s="1"/>
  <c r="A136" i="3"/>
  <c r="B136" i="3" s="1"/>
  <c r="A135" i="3"/>
  <c r="C134" i="3"/>
  <c r="C135" i="3" s="1"/>
  <c r="D135" i="3" s="1"/>
  <c r="E135" i="3" s="1"/>
  <c r="A134" i="3"/>
  <c r="B134" i="3" s="1"/>
  <c r="A133" i="3"/>
  <c r="A132" i="3"/>
  <c r="A131" i="3"/>
  <c r="A130" i="3"/>
  <c r="A129" i="3"/>
  <c r="C128" i="3"/>
  <c r="C129" i="3" s="1"/>
  <c r="D129" i="3" s="1"/>
  <c r="E129" i="3" s="1"/>
  <c r="A128" i="3"/>
  <c r="B128" i="3" s="1"/>
  <c r="A127" i="3"/>
  <c r="A126" i="3"/>
  <c r="A125" i="3"/>
  <c r="A124" i="3"/>
  <c r="A123" i="3"/>
  <c r="A122" i="3"/>
  <c r="C121" i="3"/>
  <c r="C122" i="3" s="1"/>
  <c r="C123" i="3" s="1"/>
  <c r="D123" i="3" s="1"/>
  <c r="E123" i="3" s="1"/>
  <c r="A121" i="3"/>
  <c r="B121" i="3" s="1"/>
  <c r="A120" i="3"/>
  <c r="A119" i="3"/>
  <c r="A118" i="3"/>
  <c r="A117" i="3"/>
  <c r="A116" i="3"/>
  <c r="A115" i="3"/>
  <c r="C114" i="3"/>
  <c r="C115" i="3" s="1"/>
  <c r="D115" i="3" s="1"/>
  <c r="E115" i="3" s="1"/>
  <c r="A114" i="3"/>
  <c r="B114" i="3" s="1"/>
  <c r="A113" i="3"/>
  <c r="A112" i="3"/>
  <c r="A111" i="3"/>
  <c r="A110" i="3"/>
  <c r="A109" i="3"/>
  <c r="A108" i="3"/>
  <c r="C107" i="3"/>
  <c r="D107" i="3" s="1"/>
  <c r="E107" i="3" s="1"/>
  <c r="A107" i="3"/>
  <c r="B107" i="3" s="1"/>
  <c r="A106" i="3"/>
  <c r="A105" i="3"/>
  <c r="A104" i="3"/>
  <c r="A103" i="3"/>
  <c r="A102" i="3"/>
  <c r="C101" i="3"/>
  <c r="D101" i="3" s="1"/>
  <c r="E101" i="3" s="1"/>
  <c r="A101" i="3"/>
  <c r="B101" i="3" s="1"/>
  <c r="A100" i="3"/>
  <c r="A99" i="3"/>
  <c r="A98" i="3"/>
  <c r="A97" i="3"/>
  <c r="A96" i="3"/>
  <c r="C95" i="3"/>
  <c r="D95" i="3" s="1"/>
  <c r="E95" i="3" s="1"/>
  <c r="A95" i="3"/>
  <c r="B95" i="3" s="1"/>
  <c r="A94" i="3"/>
  <c r="C93" i="3"/>
  <c r="C94" i="3" s="1"/>
  <c r="D94" i="3" s="1"/>
  <c r="E94" i="3" s="1"/>
  <c r="A93" i="3"/>
  <c r="B93" i="3" s="1"/>
  <c r="A92" i="3"/>
  <c r="C91" i="3"/>
  <c r="D91" i="3" s="1"/>
  <c r="E91" i="3" s="1"/>
  <c r="A91" i="3"/>
  <c r="B91" i="3" s="1"/>
  <c r="A90" i="3"/>
  <c r="C89" i="3"/>
  <c r="C90" i="3" s="1"/>
  <c r="D90" i="3" s="1"/>
  <c r="E90" i="3" s="1"/>
  <c r="A89" i="3"/>
  <c r="B89" i="3" s="1"/>
  <c r="A88" i="3"/>
  <c r="A87" i="3"/>
  <c r="A86" i="3"/>
  <c r="C85" i="3"/>
  <c r="C86" i="3" s="1"/>
  <c r="A85" i="3"/>
  <c r="B85" i="3" s="1"/>
  <c r="A84" i="3"/>
  <c r="A83" i="3"/>
  <c r="A82" i="3"/>
  <c r="B82" i="3" s="1"/>
  <c r="C81" i="3"/>
  <c r="C82" i="3" s="1"/>
  <c r="A81" i="3"/>
  <c r="B81" i="3" s="1"/>
  <c r="A80" i="3"/>
  <c r="A79" i="3"/>
  <c r="A78" i="3"/>
  <c r="A77" i="3"/>
  <c r="A76" i="3"/>
  <c r="C75" i="3"/>
  <c r="D75" i="3" s="1"/>
  <c r="E75" i="3" s="1"/>
  <c r="A75" i="3"/>
  <c r="B75" i="3" s="1"/>
  <c r="A74" i="3"/>
  <c r="A73" i="3"/>
  <c r="A72" i="3"/>
  <c r="A71" i="3"/>
  <c r="A70" i="3"/>
  <c r="C69" i="3"/>
  <c r="C70" i="3" s="1"/>
  <c r="A69" i="3"/>
  <c r="B69" i="3" s="1"/>
  <c r="A68" i="3"/>
  <c r="A67" i="3"/>
  <c r="A66" i="3"/>
  <c r="A65" i="3"/>
  <c r="A64" i="3"/>
  <c r="A63" i="3"/>
  <c r="A62" i="3"/>
  <c r="A61" i="3"/>
  <c r="B61" i="3" s="1"/>
  <c r="C60" i="3"/>
  <c r="D60" i="3" s="1"/>
  <c r="E60" i="3" s="1"/>
  <c r="A60" i="3"/>
  <c r="B60" i="3" s="1"/>
  <c r="A59" i="3"/>
  <c r="A58" i="3"/>
  <c r="A57" i="3"/>
  <c r="A56" i="3"/>
  <c r="A55" i="3"/>
  <c r="A54" i="3"/>
  <c r="C53" i="3"/>
  <c r="C54" i="3" s="1"/>
  <c r="A53" i="3"/>
  <c r="B53" i="3" s="1"/>
  <c r="A52" i="3"/>
  <c r="A51" i="3"/>
  <c r="A50" i="3"/>
  <c r="A49" i="3"/>
  <c r="A48" i="3"/>
  <c r="C47" i="3"/>
  <c r="D47" i="3" s="1"/>
  <c r="E47" i="3" s="1"/>
  <c r="A47" i="3"/>
  <c r="B47" i="3" s="1"/>
  <c r="A46" i="3"/>
  <c r="A45" i="3"/>
  <c r="A44" i="3"/>
  <c r="A43" i="3"/>
  <c r="A42" i="3"/>
  <c r="A41" i="3"/>
  <c r="A40" i="3"/>
  <c r="A39" i="3"/>
  <c r="A38" i="3"/>
  <c r="A37" i="3"/>
  <c r="A36" i="3"/>
  <c r="A35" i="3"/>
  <c r="C34" i="3"/>
  <c r="D34" i="3" s="1"/>
  <c r="E34" i="3" s="1"/>
  <c r="A34" i="3"/>
  <c r="B34" i="3" s="1"/>
  <c r="A33" i="3"/>
  <c r="A32" i="3"/>
  <c r="A31" i="3"/>
  <c r="A30" i="3"/>
  <c r="A29" i="3"/>
  <c r="A28" i="3"/>
  <c r="A27" i="3"/>
  <c r="C26" i="3"/>
  <c r="C27" i="3" s="1"/>
  <c r="D27" i="3" s="1"/>
  <c r="E27" i="3" s="1"/>
  <c r="A26" i="3"/>
  <c r="B26" i="3" s="1"/>
  <c r="A25" i="3"/>
  <c r="A24" i="3"/>
  <c r="A23" i="3"/>
  <c r="A22" i="3"/>
  <c r="A21" i="3"/>
  <c r="A20" i="3"/>
  <c r="A19" i="3"/>
  <c r="C18" i="3"/>
  <c r="C19" i="3" s="1"/>
  <c r="D19" i="3" s="1"/>
  <c r="E19" i="3" s="1"/>
  <c r="A18" i="3"/>
  <c r="B18" i="3" s="1"/>
  <c r="A17" i="3"/>
  <c r="A16" i="3"/>
  <c r="A15" i="3"/>
  <c r="A14" i="3"/>
  <c r="A13" i="3"/>
  <c r="A12" i="3"/>
  <c r="A11" i="3"/>
  <c r="C10" i="3"/>
  <c r="C11" i="3" s="1"/>
  <c r="D11" i="3" s="1"/>
  <c r="E11" i="3" s="1"/>
  <c r="A10" i="3"/>
  <c r="B10" i="3" s="1"/>
  <c r="A9" i="3"/>
  <c r="A8" i="3"/>
  <c r="A7" i="3"/>
  <c r="A6" i="3"/>
  <c r="A5" i="3"/>
  <c r="A4" i="3"/>
  <c r="A3" i="3"/>
  <c r="K4" i="3"/>
  <c r="K5" i="3"/>
  <c r="K6" i="3"/>
  <c r="N6" i="3" s="1"/>
  <c r="O6" i="3" s="1"/>
  <c r="K7" i="3"/>
  <c r="N7" i="3" s="1"/>
  <c r="O7" i="3" s="1"/>
  <c r="K8" i="3"/>
  <c r="K9" i="3"/>
  <c r="K10" i="3"/>
  <c r="K11" i="3"/>
  <c r="N11" i="3" s="1"/>
  <c r="O11" i="3" s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N35" i="3" s="1"/>
  <c r="O35" i="3" s="1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3" i="3"/>
  <c r="J4" i="3"/>
  <c r="M4" i="3" s="1"/>
  <c r="J5" i="3"/>
  <c r="M5" i="3" s="1"/>
  <c r="J6" i="3"/>
  <c r="J7" i="3"/>
  <c r="J8" i="3"/>
  <c r="M8" i="3" s="1"/>
  <c r="J9" i="3"/>
  <c r="M9" i="3" s="1"/>
  <c r="J10" i="3"/>
  <c r="M10" i="3" s="1"/>
  <c r="N10" i="3" s="1"/>
  <c r="O10" i="3" s="1"/>
  <c r="J11" i="3"/>
  <c r="J12" i="3"/>
  <c r="M12" i="3" s="1"/>
  <c r="J13" i="3"/>
  <c r="M13" i="3" s="1"/>
  <c r="J14" i="3"/>
  <c r="M14" i="3" s="1"/>
  <c r="J15" i="3"/>
  <c r="M15" i="3" s="1"/>
  <c r="J16" i="3"/>
  <c r="M16" i="3" s="1"/>
  <c r="J17" i="3"/>
  <c r="M17" i="3" s="1"/>
  <c r="J18" i="3"/>
  <c r="M18" i="3" s="1"/>
  <c r="J19" i="3"/>
  <c r="M19" i="3" s="1"/>
  <c r="J20" i="3"/>
  <c r="M20" i="3" s="1"/>
  <c r="J21" i="3"/>
  <c r="M21" i="3" s="1"/>
  <c r="J22" i="3"/>
  <c r="M22" i="3" s="1"/>
  <c r="N22" i="3" s="1"/>
  <c r="O22" i="3" s="1"/>
  <c r="J23" i="3"/>
  <c r="M23" i="3" s="1"/>
  <c r="J24" i="3"/>
  <c r="M24" i="3" s="1"/>
  <c r="J25" i="3"/>
  <c r="M25" i="3" s="1"/>
  <c r="J26" i="3"/>
  <c r="M26" i="3" s="1"/>
  <c r="J27" i="3"/>
  <c r="M27" i="3" s="1"/>
  <c r="J28" i="3"/>
  <c r="M28" i="3" s="1"/>
  <c r="J29" i="3"/>
  <c r="M29" i="3" s="1"/>
  <c r="J30" i="3"/>
  <c r="M30" i="3" s="1"/>
  <c r="J31" i="3"/>
  <c r="M31" i="3" s="1"/>
  <c r="J32" i="3"/>
  <c r="M32" i="3" s="1"/>
  <c r="J33" i="3"/>
  <c r="M33" i="3" s="1"/>
  <c r="J34" i="3"/>
  <c r="M34" i="3" s="1"/>
  <c r="N34" i="3" s="1"/>
  <c r="O34" i="3" s="1"/>
  <c r="J35" i="3"/>
  <c r="J36" i="3"/>
  <c r="M36" i="3" s="1"/>
  <c r="J37" i="3"/>
  <c r="M37" i="3" s="1"/>
  <c r="J38" i="3"/>
  <c r="M38" i="3" s="1"/>
  <c r="J39" i="3"/>
  <c r="M39" i="3" s="1"/>
  <c r="J40" i="3"/>
  <c r="M40" i="3" s="1"/>
  <c r="J41" i="3"/>
  <c r="M41" i="3" s="1"/>
  <c r="J42" i="3"/>
  <c r="M42" i="3" s="1"/>
  <c r="J43" i="3"/>
  <c r="M43" i="3" s="1"/>
  <c r="J44" i="3"/>
  <c r="M44" i="3" s="1"/>
  <c r="J45" i="3"/>
  <c r="M45" i="3" s="1"/>
  <c r="J46" i="3"/>
  <c r="M46" i="3" s="1"/>
  <c r="N46" i="3" s="1"/>
  <c r="O46" i="3" s="1"/>
  <c r="J47" i="3"/>
  <c r="M47" i="3" s="1"/>
  <c r="J48" i="3"/>
  <c r="M48" i="3" s="1"/>
  <c r="J49" i="3"/>
  <c r="M49" i="3" s="1"/>
  <c r="J50" i="3"/>
  <c r="M50" i="3" s="1"/>
  <c r="J51" i="3"/>
  <c r="M51" i="3" s="1"/>
  <c r="J52" i="3"/>
  <c r="M52" i="3" s="1"/>
  <c r="J53" i="3"/>
  <c r="M53" i="3" s="1"/>
  <c r="J54" i="3"/>
  <c r="M54" i="3" s="1"/>
  <c r="J55" i="3"/>
  <c r="M55" i="3" s="1"/>
  <c r="J56" i="3"/>
  <c r="M56" i="3" s="1"/>
  <c r="J57" i="3"/>
  <c r="M57" i="3" s="1"/>
  <c r="J58" i="3"/>
  <c r="M58" i="3" s="1"/>
  <c r="N58" i="3" s="1"/>
  <c r="O58" i="3" s="1"/>
  <c r="J59" i="3"/>
  <c r="M59" i="3" s="1"/>
  <c r="J60" i="3"/>
  <c r="M60" i="3" s="1"/>
  <c r="J61" i="3"/>
  <c r="M61" i="3" s="1"/>
  <c r="J62" i="3"/>
  <c r="M62" i="3" s="1"/>
  <c r="J63" i="3"/>
  <c r="M63" i="3" s="1"/>
  <c r="J64" i="3"/>
  <c r="M64" i="3" s="1"/>
  <c r="J65" i="3"/>
  <c r="M65" i="3" s="1"/>
  <c r="J66" i="3"/>
  <c r="M66" i="3" s="1"/>
  <c r="J67" i="3"/>
  <c r="M67" i="3" s="1"/>
  <c r="J68" i="3"/>
  <c r="M68" i="3" s="1"/>
  <c r="J69" i="3"/>
  <c r="M69" i="3" s="1"/>
  <c r="J70" i="3"/>
  <c r="M70" i="3" s="1"/>
  <c r="N70" i="3" s="1"/>
  <c r="O70" i="3" s="1"/>
  <c r="J71" i="3"/>
  <c r="M71" i="3" s="1"/>
  <c r="J72" i="3"/>
  <c r="M72" i="3" s="1"/>
  <c r="J73" i="3"/>
  <c r="M73" i="3" s="1"/>
  <c r="J74" i="3"/>
  <c r="M74" i="3" s="1"/>
  <c r="J75" i="3"/>
  <c r="M75" i="3" s="1"/>
  <c r="J76" i="3"/>
  <c r="M76" i="3" s="1"/>
  <c r="J77" i="3"/>
  <c r="M77" i="3" s="1"/>
  <c r="J78" i="3"/>
  <c r="M78" i="3" s="1"/>
  <c r="J79" i="3"/>
  <c r="M79" i="3" s="1"/>
  <c r="J80" i="3"/>
  <c r="M80" i="3" s="1"/>
  <c r="J81" i="3"/>
  <c r="M81" i="3" s="1"/>
  <c r="J82" i="3"/>
  <c r="M82" i="3" s="1"/>
  <c r="N82" i="3" s="1"/>
  <c r="O82" i="3" s="1"/>
  <c r="J83" i="3"/>
  <c r="M83" i="3" s="1"/>
  <c r="J84" i="3"/>
  <c r="M84" i="3" s="1"/>
  <c r="J85" i="3"/>
  <c r="M85" i="3" s="1"/>
  <c r="J86" i="3"/>
  <c r="M86" i="3" s="1"/>
  <c r="J87" i="3"/>
  <c r="M87" i="3" s="1"/>
  <c r="J88" i="3"/>
  <c r="M88" i="3" s="1"/>
  <c r="J89" i="3"/>
  <c r="M89" i="3" s="1"/>
  <c r="J90" i="3"/>
  <c r="M90" i="3" s="1"/>
  <c r="J91" i="3"/>
  <c r="M91" i="3" s="1"/>
  <c r="J92" i="3"/>
  <c r="M92" i="3" s="1"/>
  <c r="J93" i="3"/>
  <c r="M93" i="3" s="1"/>
  <c r="J94" i="3"/>
  <c r="M94" i="3" s="1"/>
  <c r="N94" i="3" s="1"/>
  <c r="O94" i="3" s="1"/>
  <c r="J95" i="3"/>
  <c r="M95" i="3" s="1"/>
  <c r="J96" i="3"/>
  <c r="M96" i="3" s="1"/>
  <c r="J97" i="3"/>
  <c r="M97" i="3" s="1"/>
  <c r="J98" i="3"/>
  <c r="M98" i="3" s="1"/>
  <c r="J99" i="3"/>
  <c r="M99" i="3" s="1"/>
  <c r="J100" i="3"/>
  <c r="M100" i="3" s="1"/>
  <c r="J101" i="3"/>
  <c r="M101" i="3" s="1"/>
  <c r="J102" i="3"/>
  <c r="M102" i="3" s="1"/>
  <c r="J103" i="3"/>
  <c r="M103" i="3" s="1"/>
  <c r="J104" i="3"/>
  <c r="M104" i="3" s="1"/>
  <c r="J105" i="3"/>
  <c r="M105" i="3" s="1"/>
  <c r="J106" i="3"/>
  <c r="M106" i="3" s="1"/>
  <c r="N106" i="3" s="1"/>
  <c r="O106" i="3" s="1"/>
  <c r="J107" i="3"/>
  <c r="M107" i="3" s="1"/>
  <c r="J108" i="3"/>
  <c r="M108" i="3" s="1"/>
  <c r="J109" i="3"/>
  <c r="M109" i="3" s="1"/>
  <c r="J110" i="3"/>
  <c r="M110" i="3" s="1"/>
  <c r="J111" i="3"/>
  <c r="M111" i="3" s="1"/>
  <c r="J112" i="3"/>
  <c r="M112" i="3" s="1"/>
  <c r="J113" i="3"/>
  <c r="M113" i="3" s="1"/>
  <c r="J114" i="3"/>
  <c r="M114" i="3" s="1"/>
  <c r="J115" i="3"/>
  <c r="M115" i="3" s="1"/>
  <c r="J116" i="3"/>
  <c r="M116" i="3" s="1"/>
  <c r="J117" i="3"/>
  <c r="M117" i="3" s="1"/>
  <c r="J118" i="3"/>
  <c r="M118" i="3" s="1"/>
  <c r="N118" i="3" s="1"/>
  <c r="O118" i="3" s="1"/>
  <c r="J119" i="3"/>
  <c r="M119" i="3" s="1"/>
  <c r="J120" i="3"/>
  <c r="M120" i="3" s="1"/>
  <c r="J121" i="3"/>
  <c r="M121" i="3" s="1"/>
  <c r="J122" i="3"/>
  <c r="M122" i="3" s="1"/>
  <c r="J123" i="3"/>
  <c r="M123" i="3" s="1"/>
  <c r="J124" i="3"/>
  <c r="M124" i="3" s="1"/>
  <c r="J125" i="3"/>
  <c r="M125" i="3" s="1"/>
  <c r="J126" i="3"/>
  <c r="M126" i="3" s="1"/>
  <c r="J127" i="3"/>
  <c r="M127" i="3" s="1"/>
  <c r="J128" i="3"/>
  <c r="M128" i="3" s="1"/>
  <c r="J129" i="3"/>
  <c r="M129" i="3" s="1"/>
  <c r="J130" i="3"/>
  <c r="M130" i="3" s="1"/>
  <c r="J131" i="3"/>
  <c r="M131" i="3" s="1"/>
  <c r="J132" i="3"/>
  <c r="M132" i="3" s="1"/>
  <c r="J133" i="3"/>
  <c r="M133" i="3" s="1"/>
  <c r="J134" i="3"/>
  <c r="M134" i="3" s="1"/>
  <c r="J135" i="3"/>
  <c r="M135" i="3" s="1"/>
  <c r="J136" i="3"/>
  <c r="M136" i="3" s="1"/>
  <c r="J137" i="3"/>
  <c r="M137" i="3" s="1"/>
  <c r="J138" i="3"/>
  <c r="M138" i="3" s="1"/>
  <c r="J3" i="3"/>
  <c r="M3" i="3" s="1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I2" i="3"/>
  <c r="H2" i="3"/>
  <c r="C2" i="3"/>
  <c r="D2" i="3" s="1"/>
  <c r="E2" i="3" s="1"/>
  <c r="A2" i="3"/>
  <c r="B2" i="3" s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E1" i="2"/>
  <c r="F1" i="2" s="1"/>
  <c r="G1" i="2" s="1"/>
  <c r="H1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N103" i="3" l="1"/>
  <c r="O103" i="3" s="1"/>
  <c r="N115" i="3"/>
  <c r="O115" i="3" s="1"/>
  <c r="N67" i="3"/>
  <c r="O67" i="3" s="1"/>
  <c r="N31" i="3"/>
  <c r="O31" i="3" s="1"/>
  <c r="N3" i="3"/>
  <c r="O3" i="3" s="1"/>
  <c r="N91" i="3"/>
  <c r="O91" i="3" s="1"/>
  <c r="N55" i="3"/>
  <c r="O55" i="3" s="1"/>
  <c r="N19" i="3"/>
  <c r="O19" i="3" s="1"/>
  <c r="B122" i="3"/>
  <c r="B19" i="3"/>
  <c r="N127" i="3"/>
  <c r="O127" i="3" s="1"/>
  <c r="N79" i="3"/>
  <c r="O79" i="3" s="1"/>
  <c r="N43" i="3"/>
  <c r="O43" i="3" s="1"/>
  <c r="N54" i="3"/>
  <c r="O54" i="3" s="1"/>
  <c r="N138" i="3"/>
  <c r="O138" i="3" s="1"/>
  <c r="N137" i="3"/>
  <c r="O137" i="3" s="1"/>
  <c r="N113" i="3"/>
  <c r="O113" i="3" s="1"/>
  <c r="N101" i="3"/>
  <c r="O101" i="3" s="1"/>
  <c r="N89" i="3"/>
  <c r="O89" i="3" s="1"/>
  <c r="N77" i="3"/>
  <c r="O77" i="3" s="1"/>
  <c r="N65" i="3"/>
  <c r="O65" i="3" s="1"/>
  <c r="N53" i="3"/>
  <c r="O53" i="3" s="1"/>
  <c r="N41" i="3"/>
  <c r="O41" i="3" s="1"/>
  <c r="N29" i="3"/>
  <c r="O29" i="3" s="1"/>
  <c r="N17" i="3"/>
  <c r="O17" i="3" s="1"/>
  <c r="N5" i="3"/>
  <c r="O5" i="3" s="1"/>
  <c r="N90" i="3"/>
  <c r="O90" i="3" s="1"/>
  <c r="N66" i="3"/>
  <c r="O66" i="3" s="1"/>
  <c r="N18" i="3"/>
  <c r="O18" i="3" s="1"/>
  <c r="N136" i="3"/>
  <c r="O136" i="3" s="1"/>
  <c r="N124" i="3"/>
  <c r="O124" i="3" s="1"/>
  <c r="N100" i="3"/>
  <c r="O100" i="3" s="1"/>
  <c r="N88" i="3"/>
  <c r="O88" i="3" s="1"/>
  <c r="N76" i="3"/>
  <c r="O76" i="3" s="1"/>
  <c r="N64" i="3"/>
  <c r="O64" i="3" s="1"/>
  <c r="N52" i="3"/>
  <c r="O52" i="3" s="1"/>
  <c r="N40" i="3"/>
  <c r="O40" i="3" s="1"/>
  <c r="N28" i="3"/>
  <c r="O28" i="3" s="1"/>
  <c r="N16" i="3"/>
  <c r="O16" i="3" s="1"/>
  <c r="N4" i="3"/>
  <c r="O4" i="3" s="1"/>
  <c r="N114" i="3"/>
  <c r="O114" i="3" s="1"/>
  <c r="N78" i="3"/>
  <c r="O78" i="3" s="1"/>
  <c r="N30" i="3"/>
  <c r="O30" i="3" s="1"/>
  <c r="B54" i="3"/>
  <c r="B55" i="3" s="1"/>
  <c r="B56" i="3" s="1"/>
  <c r="B57" i="3" s="1"/>
  <c r="B58" i="3" s="1"/>
  <c r="B59" i="3" s="1"/>
  <c r="B3" i="3"/>
  <c r="B4" i="3" s="1"/>
  <c r="B5" i="3" s="1"/>
  <c r="B6" i="3" s="1"/>
  <c r="B7" i="3" s="1"/>
  <c r="B8" i="3" s="1"/>
  <c r="B9" i="3" s="1"/>
  <c r="N42" i="3"/>
  <c r="O42" i="3" s="1"/>
  <c r="N126" i="3"/>
  <c r="O126" i="3" s="1"/>
  <c r="B11" i="3"/>
  <c r="F11" i="3" s="1"/>
  <c r="N129" i="3"/>
  <c r="O129" i="3" s="1"/>
  <c r="N117" i="3"/>
  <c r="O117" i="3" s="1"/>
  <c r="N105" i="3"/>
  <c r="O105" i="3" s="1"/>
  <c r="N93" i="3"/>
  <c r="O93" i="3" s="1"/>
  <c r="N81" i="3"/>
  <c r="O81" i="3" s="1"/>
  <c r="N69" i="3"/>
  <c r="O69" i="3" s="1"/>
  <c r="N57" i="3"/>
  <c r="O57" i="3" s="1"/>
  <c r="N45" i="3"/>
  <c r="O45" i="3" s="1"/>
  <c r="N33" i="3"/>
  <c r="O33" i="3" s="1"/>
  <c r="N21" i="3"/>
  <c r="O21" i="3" s="1"/>
  <c r="N9" i="3"/>
  <c r="O9" i="3" s="1"/>
  <c r="B48" i="3"/>
  <c r="B49" i="3" s="1"/>
  <c r="B50" i="3" s="1"/>
  <c r="B51" i="3" s="1"/>
  <c r="B52" i="3" s="1"/>
  <c r="B108" i="3"/>
  <c r="B109" i="3" s="1"/>
  <c r="B110" i="3" s="1"/>
  <c r="B111" i="3" s="1"/>
  <c r="B112" i="3" s="1"/>
  <c r="B113" i="3" s="1"/>
  <c r="N102" i="3"/>
  <c r="O102" i="3" s="1"/>
  <c r="N130" i="3"/>
  <c r="O130" i="3" s="1"/>
  <c r="N125" i="3"/>
  <c r="O125" i="3" s="1"/>
  <c r="N112" i="3"/>
  <c r="O112" i="3" s="1"/>
  <c r="C61" i="3"/>
  <c r="C62" i="3" s="1"/>
  <c r="C63" i="3" s="1"/>
  <c r="N135" i="3"/>
  <c r="O135" i="3" s="1"/>
  <c r="N123" i="3"/>
  <c r="O123" i="3" s="1"/>
  <c r="N111" i="3"/>
  <c r="O111" i="3" s="1"/>
  <c r="N99" i="3"/>
  <c r="O99" i="3" s="1"/>
  <c r="N87" i="3"/>
  <c r="O87" i="3" s="1"/>
  <c r="N75" i="3"/>
  <c r="O75" i="3" s="1"/>
  <c r="N63" i="3"/>
  <c r="O63" i="3" s="1"/>
  <c r="N51" i="3"/>
  <c r="O51" i="3" s="1"/>
  <c r="N39" i="3"/>
  <c r="O39" i="3" s="1"/>
  <c r="N27" i="3"/>
  <c r="O27" i="3" s="1"/>
  <c r="N15" i="3"/>
  <c r="O15" i="3" s="1"/>
  <c r="N134" i="3"/>
  <c r="O134" i="3" s="1"/>
  <c r="N122" i="3"/>
  <c r="O122" i="3" s="1"/>
  <c r="N110" i="3"/>
  <c r="O110" i="3" s="1"/>
  <c r="N98" i="3"/>
  <c r="O98" i="3" s="1"/>
  <c r="N86" i="3"/>
  <c r="O86" i="3" s="1"/>
  <c r="N74" i="3"/>
  <c r="O74" i="3" s="1"/>
  <c r="N62" i="3"/>
  <c r="O62" i="3" s="1"/>
  <c r="N50" i="3"/>
  <c r="O50" i="3" s="1"/>
  <c r="N38" i="3"/>
  <c r="O38" i="3" s="1"/>
  <c r="N26" i="3"/>
  <c r="O26" i="3" s="1"/>
  <c r="N14" i="3"/>
  <c r="O14" i="3" s="1"/>
  <c r="N24" i="3"/>
  <c r="O24" i="3" s="1"/>
  <c r="N109" i="3"/>
  <c r="O109" i="3" s="1"/>
  <c r="N61" i="3"/>
  <c r="O61" i="3" s="1"/>
  <c r="N25" i="3"/>
  <c r="O25" i="3" s="1"/>
  <c r="N121" i="3"/>
  <c r="O121" i="3" s="1"/>
  <c r="N85" i="3"/>
  <c r="O85" i="3" s="1"/>
  <c r="N13" i="3"/>
  <c r="O13" i="3" s="1"/>
  <c r="N132" i="3"/>
  <c r="O132" i="3" s="1"/>
  <c r="N120" i="3"/>
  <c r="O120" i="3" s="1"/>
  <c r="N108" i="3"/>
  <c r="O108" i="3" s="1"/>
  <c r="N96" i="3"/>
  <c r="O96" i="3" s="1"/>
  <c r="N84" i="3"/>
  <c r="O84" i="3" s="1"/>
  <c r="N72" i="3"/>
  <c r="O72" i="3" s="1"/>
  <c r="N60" i="3"/>
  <c r="O60" i="3" s="1"/>
  <c r="N48" i="3"/>
  <c r="O48" i="3" s="1"/>
  <c r="N36" i="3"/>
  <c r="O36" i="3" s="1"/>
  <c r="N12" i="3"/>
  <c r="O12" i="3" s="1"/>
  <c r="N131" i="3"/>
  <c r="O131" i="3" s="1"/>
  <c r="N119" i="3"/>
  <c r="O119" i="3" s="1"/>
  <c r="N107" i="3"/>
  <c r="O107" i="3" s="1"/>
  <c r="N95" i="3"/>
  <c r="O95" i="3" s="1"/>
  <c r="N83" i="3"/>
  <c r="O83" i="3" s="1"/>
  <c r="N71" i="3"/>
  <c r="O71" i="3" s="1"/>
  <c r="N59" i="3"/>
  <c r="O59" i="3" s="1"/>
  <c r="N47" i="3"/>
  <c r="O47" i="3" s="1"/>
  <c r="N23" i="3"/>
  <c r="O23" i="3" s="1"/>
  <c r="N133" i="3"/>
  <c r="O133" i="3" s="1"/>
  <c r="N97" i="3"/>
  <c r="O97" i="3" s="1"/>
  <c r="N73" i="3"/>
  <c r="O73" i="3" s="1"/>
  <c r="N49" i="3"/>
  <c r="O49" i="3" s="1"/>
  <c r="N37" i="3"/>
  <c r="O37" i="3" s="1"/>
  <c r="N128" i="3"/>
  <c r="O128" i="3" s="1"/>
  <c r="N116" i="3"/>
  <c r="O116" i="3" s="1"/>
  <c r="N104" i="3"/>
  <c r="O104" i="3" s="1"/>
  <c r="N92" i="3"/>
  <c r="O92" i="3" s="1"/>
  <c r="N80" i="3"/>
  <c r="O80" i="3" s="1"/>
  <c r="N68" i="3"/>
  <c r="O68" i="3" s="1"/>
  <c r="N56" i="3"/>
  <c r="O56" i="3" s="1"/>
  <c r="N44" i="3"/>
  <c r="O44" i="3" s="1"/>
  <c r="N32" i="3"/>
  <c r="O32" i="3" s="1"/>
  <c r="N20" i="3"/>
  <c r="O20" i="3" s="1"/>
  <c r="N8" i="3"/>
  <c r="O8" i="3" s="1"/>
  <c r="B35" i="3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76" i="3"/>
  <c r="B77" i="3" s="1"/>
  <c r="B78" i="3" s="1"/>
  <c r="B79" i="3" s="1"/>
  <c r="B80" i="3" s="1"/>
  <c r="D26" i="3"/>
  <c r="E26" i="3" s="1"/>
  <c r="F26" i="3" s="1"/>
  <c r="C35" i="3"/>
  <c r="D35" i="3" s="1"/>
  <c r="E35" i="3" s="1"/>
  <c r="B115" i="3"/>
  <c r="F115" i="3" s="1"/>
  <c r="B27" i="3"/>
  <c r="F27" i="3" s="1"/>
  <c r="B96" i="3"/>
  <c r="B97" i="3" s="1"/>
  <c r="B98" i="3" s="1"/>
  <c r="B99" i="3" s="1"/>
  <c r="B100" i="3" s="1"/>
  <c r="B135" i="3"/>
  <c r="F135" i="3" s="1"/>
  <c r="B90" i="3"/>
  <c r="F90" i="3" s="1"/>
  <c r="B137" i="3"/>
  <c r="F137" i="3" s="1"/>
  <c r="B92" i="3"/>
  <c r="B102" i="3"/>
  <c r="B103" i="3" s="1"/>
  <c r="B104" i="3" s="1"/>
  <c r="B105" i="3" s="1"/>
  <c r="B106" i="3" s="1"/>
  <c r="D18" i="3"/>
  <c r="E18" i="3" s="1"/>
  <c r="F18" i="3" s="1"/>
  <c r="D10" i="3"/>
  <c r="E10" i="3" s="1"/>
  <c r="F10" i="3" s="1"/>
  <c r="C48" i="3"/>
  <c r="D121" i="3"/>
  <c r="E121" i="3" s="1"/>
  <c r="F121" i="3" s="1"/>
  <c r="C3" i="3"/>
  <c r="D3" i="3" s="1"/>
  <c r="E3" i="3" s="1"/>
  <c r="C96" i="3"/>
  <c r="C138" i="3"/>
  <c r="D138" i="3" s="1"/>
  <c r="E138" i="3" s="1"/>
  <c r="F47" i="3"/>
  <c r="F101" i="3"/>
  <c r="B20" i="3"/>
  <c r="B21" i="3" s="1"/>
  <c r="B22" i="3" s="1"/>
  <c r="B23" i="3" s="1"/>
  <c r="B24" i="3" s="1"/>
  <c r="B25" i="3" s="1"/>
  <c r="F35" i="3"/>
  <c r="F75" i="3"/>
  <c r="F91" i="3"/>
  <c r="F107" i="3"/>
  <c r="F34" i="3"/>
  <c r="F19" i="3"/>
  <c r="F95" i="3"/>
  <c r="J1" i="2"/>
  <c r="F60" i="3"/>
  <c r="C55" i="3"/>
  <c r="D54" i="3"/>
  <c r="E54" i="3" s="1"/>
  <c r="F54" i="3" s="1"/>
  <c r="C87" i="3"/>
  <c r="D86" i="3"/>
  <c r="E86" i="3" s="1"/>
  <c r="C71" i="3"/>
  <c r="D70" i="3"/>
  <c r="E70" i="3" s="1"/>
  <c r="C83" i="3"/>
  <c r="D82" i="3"/>
  <c r="E82" i="3" s="1"/>
  <c r="F82" i="3" s="1"/>
  <c r="C20" i="3"/>
  <c r="C28" i="3"/>
  <c r="C36" i="3"/>
  <c r="C76" i="3"/>
  <c r="D81" i="3"/>
  <c r="E81" i="3" s="1"/>
  <c r="F81" i="3" s="1"/>
  <c r="D89" i="3"/>
  <c r="E89" i="3" s="1"/>
  <c r="F89" i="3" s="1"/>
  <c r="C92" i="3"/>
  <c r="D92" i="3" s="1"/>
  <c r="E92" i="3" s="1"/>
  <c r="C116" i="3"/>
  <c r="D122" i="3"/>
  <c r="E122" i="3" s="1"/>
  <c r="B129" i="3"/>
  <c r="F129" i="3" s="1"/>
  <c r="D136" i="3"/>
  <c r="E136" i="3" s="1"/>
  <c r="F136" i="3" s="1"/>
  <c r="C12" i="3"/>
  <c r="B123" i="3"/>
  <c r="B124" i="3" s="1"/>
  <c r="B125" i="3" s="1"/>
  <c r="B126" i="3" s="1"/>
  <c r="B127" i="3" s="1"/>
  <c r="C130" i="3"/>
  <c r="D53" i="3"/>
  <c r="E53" i="3" s="1"/>
  <c r="F53" i="3" s="1"/>
  <c r="D69" i="3"/>
  <c r="E69" i="3" s="1"/>
  <c r="F69" i="3" s="1"/>
  <c r="D85" i="3"/>
  <c r="E85" i="3" s="1"/>
  <c r="F85" i="3" s="1"/>
  <c r="D93" i="3"/>
  <c r="E93" i="3" s="1"/>
  <c r="F93" i="3" s="1"/>
  <c r="D114" i="3"/>
  <c r="E114" i="3" s="1"/>
  <c r="F114" i="3" s="1"/>
  <c r="C124" i="3"/>
  <c r="D134" i="3"/>
  <c r="E134" i="3" s="1"/>
  <c r="F134" i="3" s="1"/>
  <c r="B83" i="3"/>
  <c r="B84" i="3" s="1"/>
  <c r="C102" i="3"/>
  <c r="C108" i="3"/>
  <c r="B86" i="3"/>
  <c r="B87" i="3" s="1"/>
  <c r="B88" i="3" s="1"/>
  <c r="B94" i="3"/>
  <c r="F94" i="3" s="1"/>
  <c r="B62" i="3"/>
  <c r="B63" i="3" s="1"/>
  <c r="B64" i="3" s="1"/>
  <c r="B65" i="3" s="1"/>
  <c r="B66" i="3" s="1"/>
  <c r="B67" i="3" s="1"/>
  <c r="B68" i="3" s="1"/>
  <c r="B70" i="3"/>
  <c r="B71" i="3" s="1"/>
  <c r="B72" i="3" s="1"/>
  <c r="B73" i="3" s="1"/>
  <c r="B74" i="3" s="1"/>
  <c r="D128" i="3"/>
  <c r="E128" i="3" s="1"/>
  <c r="F128" i="3" s="1"/>
  <c r="F2" i="3"/>
  <c r="F122" i="3" l="1"/>
  <c r="F3" i="3"/>
  <c r="B12" i="3"/>
  <c r="B13" i="3" s="1"/>
  <c r="B14" i="3" s="1"/>
  <c r="B15" i="3" s="1"/>
  <c r="B16" i="3" s="1"/>
  <c r="B17" i="3" s="1"/>
  <c r="B116" i="3"/>
  <c r="B117" i="3" s="1"/>
  <c r="B118" i="3" s="1"/>
  <c r="B119" i="3" s="1"/>
  <c r="B120" i="3" s="1"/>
  <c r="F92" i="3"/>
  <c r="B138" i="3"/>
  <c r="F138" i="3" s="1"/>
  <c r="D61" i="3"/>
  <c r="E61" i="3" s="1"/>
  <c r="F61" i="3" s="1"/>
  <c r="D62" i="3"/>
  <c r="E62" i="3" s="1"/>
  <c r="F62" i="3" s="1"/>
  <c r="C4" i="3"/>
  <c r="C5" i="3" s="1"/>
  <c r="B28" i="3"/>
  <c r="B29" i="3" s="1"/>
  <c r="B30" i="3" s="1"/>
  <c r="B31" i="3" s="1"/>
  <c r="B32" i="3" s="1"/>
  <c r="B33" i="3" s="1"/>
  <c r="D96" i="3"/>
  <c r="E96" i="3" s="1"/>
  <c r="F96" i="3" s="1"/>
  <c r="C97" i="3"/>
  <c r="C49" i="3"/>
  <c r="D48" i="3"/>
  <c r="E48" i="3" s="1"/>
  <c r="F48" i="3" s="1"/>
  <c r="F70" i="3"/>
  <c r="B130" i="3"/>
  <c r="B131" i="3" s="1"/>
  <c r="B132" i="3" s="1"/>
  <c r="B133" i="3" s="1"/>
  <c r="D2" i="2"/>
  <c r="K1" i="2"/>
  <c r="D20" i="3"/>
  <c r="E20" i="3" s="1"/>
  <c r="F20" i="3" s="1"/>
  <c r="C21" i="3"/>
  <c r="C117" i="3"/>
  <c r="D116" i="3"/>
  <c r="E116" i="3" s="1"/>
  <c r="C131" i="3"/>
  <c r="D130" i="3"/>
  <c r="E130" i="3" s="1"/>
  <c r="C125" i="3"/>
  <c r="D124" i="3"/>
  <c r="E124" i="3" s="1"/>
  <c r="F124" i="3" s="1"/>
  <c r="C88" i="3"/>
  <c r="D88" i="3" s="1"/>
  <c r="E88" i="3" s="1"/>
  <c r="F88" i="3" s="1"/>
  <c r="D87" i="3"/>
  <c r="E87" i="3" s="1"/>
  <c r="F87" i="3" s="1"/>
  <c r="D108" i="3"/>
  <c r="E108" i="3" s="1"/>
  <c r="F108" i="3" s="1"/>
  <c r="C109" i="3"/>
  <c r="D12" i="3"/>
  <c r="E12" i="3" s="1"/>
  <c r="F12" i="3" s="1"/>
  <c r="C13" i="3"/>
  <c r="F123" i="3"/>
  <c r="C77" i="3"/>
  <c r="D76" i="3"/>
  <c r="E76" i="3" s="1"/>
  <c r="F76" i="3" s="1"/>
  <c r="C72" i="3"/>
  <c r="D71" i="3"/>
  <c r="E71" i="3" s="1"/>
  <c r="F71" i="3" s="1"/>
  <c r="F86" i="3"/>
  <c r="D102" i="3"/>
  <c r="E102" i="3" s="1"/>
  <c r="F102" i="3" s="1"/>
  <c r="C103" i="3"/>
  <c r="C37" i="3"/>
  <c r="D36" i="3"/>
  <c r="E36" i="3" s="1"/>
  <c r="F36" i="3" s="1"/>
  <c r="C64" i="3"/>
  <c r="D63" i="3"/>
  <c r="E63" i="3" s="1"/>
  <c r="F63" i="3" s="1"/>
  <c r="D83" i="3"/>
  <c r="E83" i="3" s="1"/>
  <c r="F83" i="3" s="1"/>
  <c r="C84" i="3"/>
  <c r="D84" i="3" s="1"/>
  <c r="E84" i="3" s="1"/>
  <c r="F84" i="3" s="1"/>
  <c r="C29" i="3"/>
  <c r="D28" i="3"/>
  <c r="E28" i="3" s="1"/>
  <c r="F28" i="3" s="1"/>
  <c r="C56" i="3"/>
  <c r="D55" i="3"/>
  <c r="E55" i="3" s="1"/>
  <c r="F55" i="3" s="1"/>
  <c r="D4" i="3" l="1"/>
  <c r="E4" i="3" s="1"/>
  <c r="F4" i="3" s="1"/>
  <c r="F116" i="3"/>
  <c r="F130" i="3"/>
  <c r="C98" i="3"/>
  <c r="D97" i="3"/>
  <c r="E97" i="3" s="1"/>
  <c r="F97" i="3" s="1"/>
  <c r="C50" i="3"/>
  <c r="D49" i="3"/>
  <c r="E49" i="3" s="1"/>
  <c r="F49" i="3" s="1"/>
  <c r="E2" i="2"/>
  <c r="L1" i="2"/>
  <c r="C6" i="3"/>
  <c r="D5" i="3"/>
  <c r="E5" i="3" s="1"/>
  <c r="F5" i="3" s="1"/>
  <c r="F2" i="2" s="1"/>
  <c r="D131" i="3"/>
  <c r="E131" i="3" s="1"/>
  <c r="F131" i="3" s="1"/>
  <c r="C132" i="3"/>
  <c r="D109" i="3"/>
  <c r="E109" i="3" s="1"/>
  <c r="F109" i="3" s="1"/>
  <c r="C110" i="3"/>
  <c r="D56" i="3"/>
  <c r="E56" i="3" s="1"/>
  <c r="F56" i="3" s="1"/>
  <c r="C57" i="3"/>
  <c r="D72" i="3"/>
  <c r="E72" i="3" s="1"/>
  <c r="F72" i="3" s="1"/>
  <c r="C73" i="3"/>
  <c r="C38" i="3"/>
  <c r="D37" i="3"/>
  <c r="E37" i="3" s="1"/>
  <c r="F37" i="3" s="1"/>
  <c r="D103" i="3"/>
  <c r="E103" i="3" s="1"/>
  <c r="F103" i="3" s="1"/>
  <c r="C104" i="3"/>
  <c r="C14" i="3"/>
  <c r="D13" i="3"/>
  <c r="E13" i="3" s="1"/>
  <c r="F13" i="3" s="1"/>
  <c r="D117" i="3"/>
  <c r="E117" i="3" s="1"/>
  <c r="F117" i="3" s="1"/>
  <c r="C118" i="3"/>
  <c r="C30" i="3"/>
  <c r="D29" i="3"/>
  <c r="E29" i="3" s="1"/>
  <c r="F29" i="3" s="1"/>
  <c r="C22" i="3"/>
  <c r="D21" i="3"/>
  <c r="E21" i="3" s="1"/>
  <c r="F21" i="3" s="1"/>
  <c r="C78" i="3"/>
  <c r="D77" i="3"/>
  <c r="E77" i="3" s="1"/>
  <c r="F77" i="3" s="1"/>
  <c r="D64" i="3"/>
  <c r="E64" i="3" s="1"/>
  <c r="F64" i="3" s="1"/>
  <c r="C65" i="3"/>
  <c r="D125" i="3"/>
  <c r="E125" i="3" s="1"/>
  <c r="F125" i="3" s="1"/>
  <c r="C126" i="3"/>
  <c r="C51" i="3" l="1"/>
  <c r="D50" i="3"/>
  <c r="E50" i="3" s="1"/>
  <c r="F50" i="3" s="1"/>
  <c r="D98" i="3"/>
  <c r="E98" i="3" s="1"/>
  <c r="F98" i="3" s="1"/>
  <c r="C99" i="3"/>
  <c r="M1" i="2"/>
  <c r="C127" i="3"/>
  <c r="D127" i="3" s="1"/>
  <c r="E127" i="3" s="1"/>
  <c r="F127" i="3" s="1"/>
  <c r="D126" i="3"/>
  <c r="E126" i="3" s="1"/>
  <c r="F126" i="3" s="1"/>
  <c r="D78" i="3"/>
  <c r="E78" i="3" s="1"/>
  <c r="F78" i="3" s="1"/>
  <c r="C79" i="3"/>
  <c r="C39" i="3"/>
  <c r="D38" i="3"/>
  <c r="E38" i="3" s="1"/>
  <c r="F38" i="3" s="1"/>
  <c r="C66" i="3"/>
  <c r="D65" i="3"/>
  <c r="E65" i="3" s="1"/>
  <c r="F65" i="3" s="1"/>
  <c r="C105" i="3"/>
  <c r="D104" i="3"/>
  <c r="E104" i="3" s="1"/>
  <c r="F104" i="3" s="1"/>
  <c r="D22" i="3"/>
  <c r="E22" i="3" s="1"/>
  <c r="F22" i="3" s="1"/>
  <c r="C23" i="3"/>
  <c r="C74" i="3"/>
  <c r="D74" i="3" s="1"/>
  <c r="E74" i="3" s="1"/>
  <c r="F74" i="3" s="1"/>
  <c r="D73" i="3"/>
  <c r="E73" i="3" s="1"/>
  <c r="F73" i="3" s="1"/>
  <c r="C119" i="3"/>
  <c r="D118" i="3"/>
  <c r="E118" i="3" s="1"/>
  <c r="F118" i="3" s="1"/>
  <c r="C58" i="3"/>
  <c r="D57" i="3"/>
  <c r="E57" i="3" s="1"/>
  <c r="F57" i="3" s="1"/>
  <c r="C111" i="3"/>
  <c r="D110" i="3"/>
  <c r="E110" i="3" s="1"/>
  <c r="F110" i="3" s="1"/>
  <c r="C133" i="3"/>
  <c r="D133" i="3" s="1"/>
  <c r="E133" i="3" s="1"/>
  <c r="F133" i="3" s="1"/>
  <c r="D132" i="3"/>
  <c r="E132" i="3" s="1"/>
  <c r="F132" i="3" s="1"/>
  <c r="C31" i="3"/>
  <c r="D30" i="3"/>
  <c r="E30" i="3" s="1"/>
  <c r="F30" i="3" s="1"/>
  <c r="C15" i="3"/>
  <c r="D14" i="3"/>
  <c r="E14" i="3" s="1"/>
  <c r="F14" i="3" s="1"/>
  <c r="C7" i="3"/>
  <c r="D6" i="3"/>
  <c r="E6" i="3" s="1"/>
  <c r="F6" i="3" s="1"/>
  <c r="D99" i="3" l="1"/>
  <c r="E99" i="3" s="1"/>
  <c r="F99" i="3" s="1"/>
  <c r="C100" i="3"/>
  <c r="D100" i="3" s="1"/>
  <c r="E100" i="3" s="1"/>
  <c r="F100" i="3" s="1"/>
  <c r="D51" i="3"/>
  <c r="E51" i="3" s="1"/>
  <c r="F51" i="3" s="1"/>
  <c r="C52" i="3"/>
  <c r="D52" i="3" s="1"/>
  <c r="E52" i="3" s="1"/>
  <c r="F52" i="3" s="1"/>
  <c r="G2" i="2"/>
  <c r="N1" i="2"/>
  <c r="C8" i="3"/>
  <c r="D7" i="3"/>
  <c r="E7" i="3" s="1"/>
  <c r="F7" i="3" s="1"/>
  <c r="C24" i="3"/>
  <c r="D23" i="3"/>
  <c r="E23" i="3" s="1"/>
  <c r="F23" i="3" s="1"/>
  <c r="C59" i="3"/>
  <c r="D59" i="3" s="1"/>
  <c r="E59" i="3" s="1"/>
  <c r="F59" i="3" s="1"/>
  <c r="D58" i="3"/>
  <c r="E58" i="3" s="1"/>
  <c r="F58" i="3" s="1"/>
  <c r="D119" i="3"/>
  <c r="E119" i="3" s="1"/>
  <c r="F119" i="3" s="1"/>
  <c r="C120" i="3"/>
  <c r="D120" i="3" s="1"/>
  <c r="E120" i="3" s="1"/>
  <c r="F120" i="3" s="1"/>
  <c r="C40" i="3"/>
  <c r="D39" i="3"/>
  <c r="E39" i="3" s="1"/>
  <c r="F39" i="3" s="1"/>
  <c r="C32" i="3"/>
  <c r="D31" i="3"/>
  <c r="E31" i="3" s="1"/>
  <c r="F31" i="3" s="1"/>
  <c r="D105" i="3"/>
  <c r="E105" i="3" s="1"/>
  <c r="F105" i="3" s="1"/>
  <c r="C106" i="3"/>
  <c r="D106" i="3" s="1"/>
  <c r="E106" i="3" s="1"/>
  <c r="F106" i="3" s="1"/>
  <c r="C67" i="3"/>
  <c r="D66" i="3"/>
  <c r="E66" i="3" s="1"/>
  <c r="F66" i="3" s="1"/>
  <c r="D111" i="3"/>
  <c r="E111" i="3" s="1"/>
  <c r="F111" i="3" s="1"/>
  <c r="C112" i="3"/>
  <c r="C80" i="3"/>
  <c r="D80" i="3" s="1"/>
  <c r="E80" i="3" s="1"/>
  <c r="F80" i="3" s="1"/>
  <c r="D79" i="3"/>
  <c r="E79" i="3" s="1"/>
  <c r="F79" i="3" s="1"/>
  <c r="C16" i="3"/>
  <c r="D15" i="3"/>
  <c r="E15" i="3" s="1"/>
  <c r="F15" i="3" s="1"/>
  <c r="H2" i="2" l="1"/>
  <c r="O1" i="2"/>
  <c r="D16" i="3"/>
  <c r="E16" i="3" s="1"/>
  <c r="F16" i="3" s="1"/>
  <c r="C17" i="3"/>
  <c r="D17" i="3" s="1"/>
  <c r="E17" i="3" s="1"/>
  <c r="F17" i="3" s="1"/>
  <c r="C113" i="3"/>
  <c r="D113" i="3" s="1"/>
  <c r="E113" i="3" s="1"/>
  <c r="F113" i="3" s="1"/>
  <c r="D112" i="3"/>
  <c r="E112" i="3" s="1"/>
  <c r="F112" i="3" s="1"/>
  <c r="D67" i="3"/>
  <c r="E67" i="3" s="1"/>
  <c r="F67" i="3" s="1"/>
  <c r="C68" i="3"/>
  <c r="D68" i="3" s="1"/>
  <c r="E68" i="3" s="1"/>
  <c r="F68" i="3" s="1"/>
  <c r="C33" i="3"/>
  <c r="D33" i="3" s="1"/>
  <c r="E33" i="3" s="1"/>
  <c r="F33" i="3" s="1"/>
  <c r="D32" i="3"/>
  <c r="E32" i="3" s="1"/>
  <c r="F32" i="3" s="1"/>
  <c r="D40" i="3"/>
  <c r="E40" i="3" s="1"/>
  <c r="F40" i="3" s="1"/>
  <c r="C41" i="3"/>
  <c r="D24" i="3"/>
  <c r="E24" i="3" s="1"/>
  <c r="F24" i="3" s="1"/>
  <c r="C25" i="3"/>
  <c r="D25" i="3" s="1"/>
  <c r="E25" i="3" s="1"/>
  <c r="F25" i="3" s="1"/>
  <c r="D8" i="3"/>
  <c r="E8" i="3" s="1"/>
  <c r="F8" i="3" s="1"/>
  <c r="C9" i="3"/>
  <c r="D9" i="3" s="1"/>
  <c r="E9" i="3" s="1"/>
  <c r="F9" i="3" s="1"/>
  <c r="D6" i="2" l="1"/>
  <c r="G3" i="2"/>
  <c r="J2" i="2"/>
  <c r="I5" i="2"/>
  <c r="G6" i="2"/>
  <c r="I4" i="2"/>
  <c r="F3" i="2"/>
  <c r="D3" i="2"/>
  <c r="I6" i="2"/>
  <c r="E5" i="2"/>
  <c r="F5" i="2"/>
  <c r="D4" i="2"/>
  <c r="E6" i="2"/>
  <c r="G5" i="2"/>
  <c r="H3" i="2"/>
  <c r="J4" i="2"/>
  <c r="H5" i="2"/>
  <c r="I3" i="2"/>
  <c r="G4" i="2"/>
  <c r="E3" i="2"/>
  <c r="E4" i="2"/>
  <c r="H6" i="2"/>
  <c r="J5" i="2"/>
  <c r="F4" i="2"/>
  <c r="I2" i="2"/>
  <c r="D5" i="2"/>
  <c r="F6" i="2"/>
  <c r="J3" i="2"/>
  <c r="H4" i="2"/>
  <c r="P1" i="2"/>
  <c r="C42" i="3"/>
  <c r="D41" i="3"/>
  <c r="E41" i="3" s="1"/>
  <c r="F41" i="3" s="1"/>
  <c r="J6" i="2" l="1"/>
  <c r="C43" i="3"/>
  <c r="D42" i="3"/>
  <c r="E42" i="3" s="1"/>
  <c r="F42" i="3" s="1"/>
  <c r="K6" i="2" l="1"/>
  <c r="D43" i="3"/>
  <c r="E43" i="3" s="1"/>
  <c r="F43" i="3" s="1"/>
  <c r="C44" i="3"/>
  <c r="L6" i="2" l="1"/>
  <c r="C45" i="3"/>
  <c r="D44" i="3"/>
  <c r="E44" i="3" s="1"/>
  <c r="F44" i="3" s="1"/>
  <c r="C46" i="3" l="1"/>
  <c r="D46" i="3" s="1"/>
  <c r="E46" i="3" s="1"/>
  <c r="F46" i="3" s="1"/>
  <c r="N8" i="2" s="1"/>
  <c r="D45" i="3"/>
  <c r="E45" i="3" s="1"/>
  <c r="F45" i="3" s="1"/>
  <c r="F16" i="2" l="1"/>
  <c r="N12" i="2"/>
  <c r="O20" i="2"/>
  <c r="H23" i="2"/>
  <c r="N16" i="2"/>
  <c r="M4" i="2"/>
  <c r="N22" i="2"/>
  <c r="N25" i="2"/>
  <c r="P16" i="2"/>
  <c r="N20" i="2"/>
  <c r="E21" i="2"/>
  <c r="P12" i="2"/>
  <c r="N9" i="2"/>
  <c r="D12" i="2"/>
  <c r="O14" i="2"/>
  <c r="N6" i="2"/>
  <c r="N7" i="2"/>
  <c r="H9" i="2"/>
  <c r="H20" i="2"/>
  <c r="O15" i="2"/>
  <c r="D14" i="2"/>
  <c r="D19" i="2"/>
  <c r="O24" i="2"/>
  <c r="P13" i="2"/>
  <c r="N13" i="2"/>
  <c r="G19" i="2"/>
  <c r="F22" i="2"/>
  <c r="O17" i="2"/>
  <c r="G24" i="2"/>
  <c r="P8" i="2"/>
  <c r="E15" i="2"/>
  <c r="I8" i="2"/>
  <c r="N4" i="2"/>
  <c r="P4" i="2"/>
  <c r="O12" i="2"/>
  <c r="I15" i="2"/>
  <c r="N2" i="2"/>
  <c r="P21" i="2"/>
  <c r="E9" i="2"/>
  <c r="N11" i="2"/>
  <c r="N23" i="2"/>
  <c r="E14" i="2"/>
  <c r="G23" i="2"/>
  <c r="F12" i="2"/>
  <c r="D23" i="2"/>
  <c r="G15" i="2"/>
  <c r="E23" i="2"/>
  <c r="H21" i="2"/>
  <c r="G11" i="2"/>
  <c r="D20" i="2"/>
  <c r="E25" i="2"/>
  <c r="E18" i="2"/>
  <c r="F14" i="2"/>
  <c r="F15" i="2"/>
  <c r="G25" i="2"/>
  <c r="D10" i="2"/>
  <c r="D8" i="2"/>
  <c r="F9" i="2"/>
  <c r="I14" i="2"/>
  <c r="I19" i="2"/>
  <c r="D15" i="2"/>
  <c r="G18" i="2"/>
  <c r="D25" i="2"/>
  <c r="H18" i="2"/>
  <c r="D9" i="2"/>
  <c r="H12" i="2"/>
  <c r="G8" i="2"/>
  <c r="I18" i="2"/>
  <c r="E19" i="2"/>
  <c r="H7" i="2"/>
  <c r="J18" i="2"/>
  <c r="I23" i="2"/>
  <c r="I10" i="2"/>
  <c r="J22" i="2"/>
  <c r="G13" i="2"/>
  <c r="I12" i="2"/>
  <c r="G20" i="2"/>
  <c r="G17" i="2"/>
  <c r="H16" i="2"/>
  <c r="G21" i="2"/>
  <c r="G16" i="2"/>
  <c r="E24" i="2"/>
  <c r="D22" i="2"/>
  <c r="H19" i="2"/>
  <c r="F24" i="2"/>
  <c r="G14" i="2"/>
  <c r="F25" i="2"/>
  <c r="I13" i="2"/>
  <c r="E22" i="2"/>
  <c r="F11" i="2"/>
  <c r="D13" i="2"/>
  <c r="E13" i="2"/>
  <c r="G10" i="2"/>
  <c r="H22" i="2"/>
  <c r="J19" i="2"/>
  <c r="J8" i="2"/>
  <c r="D18" i="2"/>
  <c r="J25" i="2"/>
  <c r="I11" i="2"/>
  <c r="I25" i="2"/>
  <c r="E8" i="2"/>
  <c r="I21" i="2"/>
  <c r="H11" i="2"/>
  <c r="E10" i="2"/>
  <c r="J15" i="2"/>
  <c r="K11" i="2"/>
  <c r="J24" i="2"/>
  <c r="K2" i="2"/>
  <c r="K10" i="2"/>
  <c r="K21" i="2"/>
  <c r="K8" i="2"/>
  <c r="F19" i="2"/>
  <c r="J9" i="2"/>
  <c r="K5" i="2"/>
  <c r="K18" i="2"/>
  <c r="K15" i="2"/>
  <c r="E7" i="2"/>
  <c r="K25" i="2"/>
  <c r="F13" i="2"/>
  <c r="I17" i="2"/>
  <c r="J7" i="2"/>
  <c r="K22" i="2"/>
  <c r="K7" i="2"/>
  <c r="K4" i="2"/>
  <c r="H17" i="2"/>
  <c r="K14" i="2"/>
  <c r="J16" i="2"/>
  <c r="K13" i="2"/>
  <c r="K16" i="2"/>
  <c r="K24" i="2"/>
  <c r="J21" i="2"/>
  <c r="J11" i="2"/>
  <c r="M18" i="2"/>
  <c r="L19" i="2"/>
  <c r="K9" i="2"/>
  <c r="J10" i="2"/>
  <c r="L12" i="2"/>
  <c r="K3" i="2"/>
  <c r="J17" i="2"/>
  <c r="L4" i="2"/>
  <c r="L18" i="2"/>
  <c r="L24" i="2"/>
  <c r="L21" i="2"/>
  <c r="L7" i="2"/>
  <c r="L5" i="2"/>
  <c r="K12" i="2"/>
  <c r="L14" i="2"/>
  <c r="L25" i="2"/>
  <c r="K17" i="2"/>
  <c r="L11" i="2"/>
  <c r="L22" i="2"/>
  <c r="L10" i="2"/>
  <c r="L2" i="2"/>
  <c r="K20" i="2"/>
  <c r="J12" i="2"/>
  <c r="L16" i="2"/>
  <c r="K19" i="2"/>
  <c r="J20" i="2"/>
  <c r="L8" i="2"/>
  <c r="K23" i="2"/>
  <c r="L13" i="2"/>
  <c r="L23" i="2"/>
  <c r="L9" i="2"/>
  <c r="J14" i="2"/>
  <c r="J23" i="2"/>
  <c r="N15" i="2"/>
  <c r="M3" i="2"/>
  <c r="M23" i="2"/>
  <c r="M6" i="2"/>
  <c r="M19" i="2"/>
  <c r="L17" i="2"/>
  <c r="M15" i="2"/>
  <c r="M5" i="2"/>
  <c r="M17" i="2"/>
  <c r="H24" i="2"/>
  <c r="M8" i="2"/>
  <c r="I7" i="2"/>
  <c r="M16" i="2"/>
  <c r="M20" i="2"/>
  <c r="M12" i="2"/>
  <c r="M11" i="2"/>
  <c r="M2" i="2"/>
  <c r="M25" i="2"/>
  <c r="E17" i="2"/>
  <c r="L15" i="2"/>
  <c r="M7" i="2"/>
  <c r="M9" i="2"/>
  <c r="L3" i="2"/>
  <c r="F7" i="2"/>
  <c r="M10" i="2"/>
  <c r="M24" i="2"/>
  <c r="M14" i="2"/>
  <c r="N14" i="2"/>
  <c r="J13" i="2"/>
  <c r="H13" i="2"/>
  <c r="O25" i="2"/>
  <c r="O9" i="2"/>
  <c r="I16" i="2"/>
  <c r="D7" i="2"/>
  <c r="E12" i="2"/>
  <c r="I22" i="2"/>
  <c r="M21" i="2"/>
  <c r="O18" i="2"/>
  <c r="F17" i="2"/>
  <c r="N21" i="2"/>
  <c r="E16" i="2"/>
  <c r="P19" i="2"/>
  <c r="P6" i="2"/>
  <c r="F8" i="2"/>
  <c r="D11" i="2"/>
  <c r="O11" i="2"/>
  <c r="O7" i="2"/>
  <c r="F21" i="2"/>
  <c r="N10" i="2"/>
  <c r="I24" i="2"/>
  <c r="D16" i="2"/>
  <c r="N18" i="2"/>
  <c r="O2" i="2"/>
  <c r="D21" i="2"/>
  <c r="O10" i="2"/>
  <c r="O21" i="2"/>
  <c r="P20" i="2"/>
  <c r="E20" i="2"/>
  <c r="O13" i="2"/>
  <c r="N17" i="2"/>
  <c r="P11" i="2"/>
  <c r="P18" i="2"/>
  <c r="G22" i="2"/>
  <c r="G9" i="2"/>
  <c r="P23" i="2"/>
  <c r="O3" i="2"/>
  <c r="P9" i="2"/>
  <c r="O23" i="2"/>
  <c r="P22" i="2"/>
  <c r="F20" i="2"/>
  <c r="H10" i="2"/>
  <c r="P17" i="2"/>
  <c r="M13" i="2"/>
  <c r="P5" i="2"/>
  <c r="O16" i="2"/>
  <c r="G12" i="2"/>
  <c r="H8" i="2"/>
  <c r="F23" i="2"/>
  <c r="N5" i="2"/>
  <c r="P14" i="2"/>
  <c r="P10" i="2"/>
  <c r="P25" i="2"/>
  <c r="H25" i="2"/>
  <c r="D17" i="2"/>
  <c r="O19" i="2"/>
  <c r="P15" i="2"/>
  <c r="I9" i="2"/>
  <c r="O6" i="2"/>
  <c r="P7" i="2"/>
  <c r="O5" i="2"/>
  <c r="N24" i="2"/>
  <c r="O22" i="2"/>
  <c r="P24" i="2"/>
  <c r="G7" i="2"/>
  <c r="D24" i="2"/>
  <c r="N19" i="2"/>
  <c r="M22" i="2"/>
  <c r="O8" i="2"/>
  <c r="E11" i="2"/>
  <c r="N3" i="2"/>
  <c r="I20" i="2"/>
  <c r="P2" i="2"/>
  <c r="L20" i="2"/>
  <c r="H15" i="2"/>
  <c r="H14" i="2"/>
  <c r="P3" i="2"/>
  <c r="F10" i="2"/>
  <c r="F18" i="2"/>
  <c r="O4" i="2"/>
</calcChain>
</file>

<file path=xl/sharedStrings.xml><?xml version="1.0" encoding="utf-8"?>
<sst xmlns="http://schemas.openxmlformats.org/spreadsheetml/2006/main" count="181" uniqueCount="177">
  <si>
    <t>12:00 AM (UTC+0) — Greenwich Mean Time (GMT)</t>
  </si>
  <si>
    <t>1:00 AM (UTC+1) — West Africa / Central European Time</t>
  </si>
  <si>
    <t>2:00 AM (UTC+2) — Central Africa / Eastern European Time</t>
  </si>
  <si>
    <t>3:00 AM (UTC+3) — East Africa / Arabia / Moscow Time</t>
  </si>
  <si>
    <t>4:00 AM (UTC+4) — Gulf / Caucasus Time</t>
  </si>
  <si>
    <t>6:00 AM (UTC+6) — Central Asia Time</t>
  </si>
  <si>
    <t>7:00 AM (UTC+7) — Indochina / Western Indonesia Time</t>
  </si>
  <si>
    <t>8:00 AM (UTC+8) — China / Western Australia Time</t>
  </si>
  <si>
    <t>9:00 AM (UTC+9) — Japan / Korea Standard Time</t>
  </si>
  <si>
    <t>10:00 AM (UTC+10) — Australian Eastern / Vladivostok Time</t>
  </si>
  <si>
    <t>11:00 AM (UTC+11) — Solomon Islands / Magadan Time</t>
  </si>
  <si>
    <t>12:00 PM (12:00 / UTC+12) — Fiji / New Zealand Standard Time</t>
  </si>
  <si>
    <t>1:00 PM (13:00 / UTC-11) — Samoa / Niue Standard Time</t>
  </si>
  <si>
    <t>2:00 PM (14:00 / UTC-10) — Hawaii-Aleutian Standard Time</t>
  </si>
  <si>
    <t>3:00 PM (15:00 / UTC-9) — Alaska Standard Time</t>
  </si>
  <si>
    <t>4:00 PM (16:00 / UTC-8) — Pacific Standard Time (PST)</t>
  </si>
  <si>
    <t>5:00 PM (17:00 / UTC-7) — Mountain Standard Time (MST)</t>
  </si>
  <si>
    <t>6:00 PM (18:00 / UTC-6) — Central Standard Time (CST)</t>
  </si>
  <si>
    <t>7:00 PM (19:00 / UTC-5) — Eastern Standard Time (EST)</t>
  </si>
  <si>
    <t>8:00 PM (20:00 / UTC-4) — Atlantic / Western South America Time</t>
  </si>
  <si>
    <t>9:00 PM (21:00 / UTC-3) — Brasilia / Argentina Time</t>
  </si>
  <si>
    <t>10:00 PM (22:00 / UTC-2) — Mid-Atlantic Time</t>
  </si>
  <si>
    <t>11:00 PM (23:00 / UTC-1) — Cape Verde / Azores Time</t>
  </si>
  <si>
    <t>UTC+0</t>
  </si>
  <si>
    <t>UTC+1</t>
  </si>
  <si>
    <t>UTC+2</t>
  </si>
  <si>
    <t>UTC+3</t>
  </si>
  <si>
    <t>UTC+4</t>
  </si>
  <si>
    <t>UTC+6</t>
  </si>
  <si>
    <t>UTC+7</t>
  </si>
  <si>
    <t>UTC+8</t>
  </si>
  <si>
    <t>UTC+9</t>
  </si>
  <si>
    <t>UTC+10</t>
  </si>
  <si>
    <t>UTC+11</t>
  </si>
  <si>
    <t>12:00 / UTC+12</t>
  </si>
  <si>
    <t>13:00 / UTC-11</t>
  </si>
  <si>
    <t>14:00 / UTC-10</t>
  </si>
  <si>
    <t>15:00 / UTC-9</t>
  </si>
  <si>
    <t>16:00 / UTC-8</t>
  </si>
  <si>
    <t>17:00 / UTC-7</t>
  </si>
  <si>
    <t>18:00 / UTC-6</t>
  </si>
  <si>
    <t>19:00 / UTC-5</t>
  </si>
  <si>
    <t>20:00 / UTC-4</t>
  </si>
  <si>
    <t>21:00 / UTC-3</t>
  </si>
  <si>
    <t>22:00 / UTC-2</t>
  </si>
  <si>
    <t>23:00 / UTC-1</t>
  </si>
  <si>
    <t>UTC+5</t>
  </si>
  <si>
    <t>London, United Kingdom [N] — ~9.2 million</t>
  </si>
  <si>
    <t>Casablanca, Morocco [N] — ~3.8 million</t>
  </si>
  <si>
    <t>Abidjan, Ivory Coast [N] — ~3.7 million</t>
  </si>
  <si>
    <t>Accra, Ghana [N] — ~2.6 million</t>
  </si>
  <si>
    <t>Dakar, Senegal [N] — ~1.5 million</t>
  </si>
  <si>
    <t>Dublin, Ireland [N] — ~590,000</t>
  </si>
  <si>
    <t>Lisbon, Portugal [N] — ~550,000</t>
  </si>
  <si>
    <t>Lagos, Nigeria [N] — ~15.5 million</t>
  </si>
  <si>
    <t>Kinshasa, DR Congo [S] — ~14.5 million</t>
  </si>
  <si>
    <t>Madrid, Spain [N] — ~3.3 million</t>
  </si>
  <si>
    <t>Berlin, Germany [N] — ~3.6 million</t>
  </si>
  <si>
    <t>Algiers, Algeria [N] — ~2.8 million</t>
  </si>
  <si>
    <t>Paris, France [N] — ~2.1 million</t>
  </si>
  <si>
    <t>Rome, Italy [N] — ~2.8 million</t>
  </si>
  <si>
    <t>Cairo, Egypt [N] — ~10.1 million</t>
  </si>
  <si>
    <t>Johannesburg, South Africa [S] — ~4.8 million</t>
  </si>
  <si>
    <t>Kyiv, Ukraine [N] — ~2.9 million</t>
  </si>
  <si>
    <t>Khartoum, Sudan [N] — ~2.7 million</t>
  </si>
  <si>
    <t>Bucharest, Romania [N] — ~1.8 million</t>
  </si>
  <si>
    <t>Lusaka, Zambia [S] — ~1.7 million</t>
  </si>
  <si>
    <t>Athens, Greece [N] — ~640,000</t>
  </si>
  <si>
    <t>Istanbul, Turkey [N] — ~15.8 million</t>
  </si>
  <si>
    <t>Moscow, Russia [N] — ~13.0 million</t>
  </si>
  <si>
    <t>Baghdad, Iraq [N] — ~7.5 million</t>
  </si>
  <si>
    <t>Riyadh, Saudi Arabia [N] — ~7.0 million</t>
  </si>
  <si>
    <t>Dar es Salaam, Tanzania [S] — ~7.0 million</t>
  </si>
  <si>
    <t>Nairobi, Kenya [S] — ~4.4 million</t>
  </si>
  <si>
    <t>Addis Ababa, Ethiopia [N] — ~3.8 million</t>
  </si>
  <si>
    <t>Dubai, United Arab Emirates [N] — ~3.6 million</t>
  </si>
  <si>
    <t>Baku, Azerbaijan [N] — ~2.3 million</t>
  </si>
  <si>
    <t>Muscat, Oman [N] — ~1.4 million</t>
  </si>
  <si>
    <t>Tbilisi, Georgia [N] — ~1.2 million</t>
  </si>
  <si>
    <t>Yerevan, Armenia [N] — ~1.1 million</t>
  </si>
  <si>
    <t>Samara, Russia [N] — ~1.1 million</t>
  </si>
  <si>
    <t>5:00 AM (UTC+5) — West / Central Asia</t>
  </si>
  <si>
    <t>Karachi, Pakistan [N] — ~14.9 million</t>
  </si>
  <si>
    <t>Lahore, Pakistan [N] — ~11.1 million</t>
  </si>
  <si>
    <t>Tashkent, Uzbekistan [N] — ~2.9 million</t>
  </si>
  <si>
    <t>Ekaterinburg, Russia [N] — ~1.5 million</t>
  </si>
  <si>
    <t>Ashgabat, Turkmenistan [N] — ~1.0 million</t>
  </si>
  <si>
    <t>Dhaka, Bangladesh [N] — ~10.2 million</t>
  </si>
  <si>
    <t>Chittagong, Bangladesh [N] — ~3.2 million</t>
  </si>
  <si>
    <t>Almaty, Kazakhstan [N] — ~2.0 million</t>
  </si>
  <si>
    <t>Astana, Kazakhstan [N] — ~1.3 million</t>
  </si>
  <si>
    <t>Bishkek, Kyrgyzstan [N] — ~1.1 million</t>
  </si>
  <si>
    <t>Jakarta, Indonesia [S] — ~10.6 million</t>
  </si>
  <si>
    <t>Bangkok, Thailand [N] — ~5.5 million</t>
  </si>
  <si>
    <t>Hanoi, Vietnam [N] — ~3.6 million</t>
  </si>
  <si>
    <t>Phnom Penh, Cambodia [N] — ~2.3 million</t>
  </si>
  <si>
    <t>Krasnoyarsk, Russia [N] — ~1.2 million</t>
  </si>
  <si>
    <t>Shanghai, China [N] — ~24.9 million</t>
  </si>
  <si>
    <t>Beijing, China [N] — ~21.8 million</t>
  </si>
  <si>
    <t>Guangzhou, China [N] — ~18.8 million</t>
  </si>
  <si>
    <r>
      <t xml:space="preserve">Manila, Philippines [N] — ~1.8 million </t>
    </r>
    <r>
      <rPr>
        <i/>
        <sz val="11"/>
        <color theme="1"/>
        <rFont val="Aptos Narrow"/>
        <family val="2"/>
        <scheme val="minor"/>
      </rPr>
      <t>(Metro: ~13.5M)</t>
    </r>
  </si>
  <si>
    <t>Taipei, Taiwan [N] — ~2.5 million</t>
  </si>
  <si>
    <t>Singapore [N] — ~5.9 million</t>
  </si>
  <si>
    <t>Perth, Australia [S] — ~2.1 million</t>
  </si>
  <si>
    <r>
      <t xml:space="preserve">Tokyo, Japan [N] — ~10.3 million </t>
    </r>
    <r>
      <rPr>
        <i/>
        <sz val="11"/>
        <color theme="1"/>
        <rFont val="Aptos Narrow"/>
        <family val="2"/>
        <scheme val="minor"/>
      </rPr>
      <t>(Metro: ~37M)</t>
    </r>
  </si>
  <si>
    <t>Seoul, South Korea [N] — ~9.4 million</t>
  </si>
  <si>
    <t>Busan, South Korea [N] — ~3.3 million</t>
  </si>
  <si>
    <t>Pyongyang, North Korea [N] — ~3.1 million</t>
  </si>
  <si>
    <t>Osaka, Japan [N] — ~2.8 million</t>
  </si>
  <si>
    <t>Sydney, Australia [S] — ~5.3 million</t>
  </si>
  <si>
    <t>Melbourne, Australia [S] — ~5.0 million</t>
  </si>
  <si>
    <t>Brisbane, Australia [S] — ~2.6 million</t>
  </si>
  <si>
    <t>Vladivostok, Russia [N] — ~600,000</t>
  </si>
  <si>
    <t>Port Moresby, Papua New Guinea [S] — ~380,000</t>
  </si>
  <si>
    <r>
      <t xml:space="preserve">Nouméa, New Caledonia [S] — ~94,000 </t>
    </r>
    <r>
      <rPr>
        <i/>
        <sz val="11"/>
        <color theme="1"/>
        <rFont val="Aptos Narrow"/>
        <family val="2"/>
        <scheme val="minor"/>
      </rPr>
      <t>(Urban area ~180,000)</t>
    </r>
  </si>
  <si>
    <t>Honiara, Solomon Islands [S] — ~90,000</t>
  </si>
  <si>
    <r>
      <t xml:space="preserve">Magadan, Russia [N] — ~90,000 </t>
    </r>
    <r>
      <rPr>
        <i/>
        <sz val="11"/>
        <color theme="1"/>
        <rFont val="Aptos Narrow"/>
        <family val="2"/>
        <scheme val="minor"/>
      </rPr>
      <t>(Note: Very few urban centers exist in UTC+11 that exceed 250,000 residents).</t>
    </r>
  </si>
  <si>
    <t>Auckland, New Zealand [S] — ~1.7 million</t>
  </si>
  <si>
    <t>Wellington, New Zealand [S] — ~420,000</t>
  </si>
  <si>
    <r>
      <t xml:space="preserve">Suva, Fiji [S] — ~94,000 </t>
    </r>
    <r>
      <rPr>
        <i/>
        <sz val="11"/>
        <color theme="1"/>
        <rFont val="Aptos Narrow"/>
        <family val="2"/>
        <scheme val="minor"/>
      </rPr>
      <t>(Urban area ~180,000)</t>
    </r>
  </si>
  <si>
    <r>
      <t xml:space="preserve">Pago Pago, American Samoa [S] — ~8,000 </t>
    </r>
    <r>
      <rPr>
        <i/>
        <sz val="11"/>
        <color theme="1"/>
        <rFont val="Aptos Narrow"/>
        <family val="2"/>
        <scheme val="minor"/>
      </rPr>
      <t>(Note: Spans remote Pacific islands; no cities exceed 250,000 inhabitants).</t>
    </r>
  </si>
  <si>
    <r>
      <t xml:space="preserve">Honolulu, United States [N] — ~345,000 </t>
    </r>
    <r>
      <rPr>
        <i/>
        <sz val="11"/>
        <color theme="1"/>
        <rFont val="Aptos Narrow"/>
        <family val="2"/>
        <scheme val="minor"/>
      </rPr>
      <t>(Urban Honolulu)</t>
    </r>
  </si>
  <si>
    <t>Anchorage, United States [N] — ~287,000</t>
  </si>
  <si>
    <t>Los Angeles, United States [N] — ~3.8 million</t>
  </si>
  <si>
    <t>Tijuana, Mexico [N] — ~1.8 million</t>
  </si>
  <si>
    <t>San Francisco, United States [N] — ~810,000</t>
  </si>
  <si>
    <t>Seattle, United States [N] — ~750,000</t>
  </si>
  <si>
    <r>
      <t xml:space="preserve">Vancouver, Canada [N] — ~660,000 </t>
    </r>
    <r>
      <rPr>
        <i/>
        <sz val="11"/>
        <color theme="1"/>
        <rFont val="Aptos Narrow"/>
        <family val="2"/>
        <scheme val="minor"/>
      </rPr>
      <t>(Metro: ~2.6M)</t>
    </r>
  </si>
  <si>
    <t>Phoenix, United States [N] — ~1.6 million</t>
  </si>
  <si>
    <t>Ciudad Juárez, Mexico [N] — ~1.5 million</t>
  </si>
  <si>
    <t>Calgary, Canada [N] — ~1.3 million</t>
  </si>
  <si>
    <t>Edmonton, Canada [N] — ~1.0 million</t>
  </si>
  <si>
    <t>Denver, United States [N] — ~710,000</t>
  </si>
  <si>
    <t>Mexico City, Mexico [N] — ~9.2 million</t>
  </si>
  <si>
    <t>Chicago, United States [N] — ~2.6 million</t>
  </si>
  <si>
    <t>Houston, United States [N] — ~2.3 million</t>
  </si>
  <si>
    <t>Dallas, United States [N] — ~1.3 million</t>
  </si>
  <si>
    <t>San Salvador, El Salvador [N] — ~570,000</t>
  </si>
  <si>
    <t>Lima, Peru [S] — ~9.7 million</t>
  </si>
  <si>
    <t>New York City, United States [N] — ~8.5 million</t>
  </si>
  <si>
    <t>Bogotá, Colombia [N] — ~7.9 million</t>
  </si>
  <si>
    <t>Toronto, Canada [N] — ~2.8 million</t>
  </si>
  <si>
    <t>Havana, Cuba [N] — ~2.1 million</t>
  </si>
  <si>
    <t>Montreal, Canada [N] — ~1.8 million</t>
  </si>
  <si>
    <t>Santiago, Chile [S] — ~6.3 million</t>
  </si>
  <si>
    <t>Caracas, Venezuela [N] — ~2.9 million</t>
  </si>
  <si>
    <t>Manaus, Brazil [S] — ~2.3 million</t>
  </si>
  <si>
    <t>Santo Domingo, Dominican Republic [N] — ~1.4 million</t>
  </si>
  <si>
    <t>La Paz, Bolivia [S] — ~800,000</t>
  </si>
  <si>
    <t>São Paulo, Brazil [S] — ~12.3 million</t>
  </si>
  <si>
    <r>
      <t xml:space="preserve">Buenos Aires, Argentina [S] — ~3.1 million </t>
    </r>
    <r>
      <rPr>
        <i/>
        <sz val="11"/>
        <color theme="1"/>
        <rFont val="Aptos Narrow"/>
        <family val="2"/>
        <scheme val="minor"/>
      </rPr>
      <t>(Metro: ~15.3M)</t>
    </r>
  </si>
  <si>
    <t>Salvador, Brazil [S] — ~2.9 million</t>
  </si>
  <si>
    <t>Montevideo, Uruguay [S] — ~1.4 million</t>
  </si>
  <si>
    <t>Praia, Cape Verde [N] — ~160,000</t>
  </si>
  <si>
    <r>
      <t xml:space="preserve">Ponta Delgada, Azores (Portugal) [N] — ~68,000 </t>
    </r>
    <r>
      <rPr>
        <i/>
        <sz val="11"/>
        <color theme="1"/>
        <rFont val="Aptos Narrow"/>
        <family val="2"/>
        <scheme val="minor"/>
      </rPr>
      <t>(Note: Small island territories occupy UTC-1; no individual city exceeds 250,000 residents).</t>
    </r>
  </si>
  <si>
    <t>Location Override</t>
  </si>
  <si>
    <t>S</t>
  </si>
  <si>
    <r>
      <t xml:space="preserve">Bali, Indonesia [S] — ~670,000 </t>
    </r>
    <r>
      <rPr>
        <i/>
        <sz val="11"/>
        <color theme="1"/>
        <rFont val="Aptos Narrow"/>
        <family val="2"/>
        <scheme val="minor"/>
      </rPr>
      <t>(Metro: ~2.1M)</t>
    </r>
  </si>
  <si>
    <t>City/Tim</t>
  </si>
  <si>
    <t>Order</t>
  </si>
  <si>
    <t>TimeZone</t>
  </si>
  <si>
    <t>UTC</t>
  </si>
  <si>
    <t>UTCshort</t>
  </si>
  <si>
    <t>UTCorder</t>
  </si>
  <si>
    <t>Original</t>
  </si>
  <si>
    <t>CityCountry</t>
  </si>
  <si>
    <t>Population</t>
  </si>
  <si>
    <t>N/S</t>
  </si>
  <si>
    <t>CityShort</t>
  </si>
  <si>
    <t>Location-Original</t>
  </si>
  <si>
    <t>FinalCityLocation</t>
  </si>
  <si>
    <t>CityLen</t>
  </si>
  <si>
    <t>Ho Chi Minh, Vietnam [N] — ~9.0 million</t>
  </si>
  <si>
    <t>Guatemala, Guatemala [N] — ~1.2 million</t>
  </si>
  <si>
    <t>Santa Cruz, Bolivia [S] — ~1.4 million</t>
  </si>
  <si>
    <t>Rio, Brazil [S] — ~6.7 million</t>
  </si>
  <si>
    <r>
      <t xml:space="preserve">Noronha, Brazil [S] — ~3,100 </t>
    </r>
    <r>
      <rPr>
        <i/>
        <sz val="11"/>
        <color theme="1"/>
        <rFont val="Aptos Narrow"/>
        <family val="2"/>
        <scheme val="minor"/>
      </rPr>
      <t>(Note: Covers mostly open ocean and small island outposts; no major cities &gt;250,000 exist in UTC-2).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</si>
</sst>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7401-DC47-45AE-9445-C124159D182E}">
  <dimension ref="A1:P25"/>
  <sheetViews>
    <sheetView showGridLines="0" tabSelected="1" workbookViewId="0">
      <pane ySplit="1" topLeftCell="A2" activePane="bottomLeft" state="frozen"/>
      <selection pane="bottomLeft" activeCell="C2" sqref="C2:P25"/>
    </sheetView>
  </sheetViews>
  <sheetFormatPr defaultRowHeight="14.4" x14ac:dyDescent="0.55000000000000004"/>
  <cols>
    <col min="1" max="1" width="2.68359375" bestFit="1" customWidth="1"/>
    <col min="2" max="2" width="12.89453125" hidden="1" customWidth="1"/>
    <col min="4" max="4" width="19.26171875" bestFit="1" customWidth="1"/>
    <col min="5" max="5" width="15.41796875" bestFit="1" customWidth="1"/>
    <col min="6" max="6" width="13.5234375" bestFit="1" customWidth="1"/>
    <col min="7" max="7" width="19.734375" bestFit="1" customWidth="1"/>
    <col min="8" max="8" width="14.578125" bestFit="1" customWidth="1"/>
  </cols>
  <sheetData>
    <row r="1" spans="1:16" x14ac:dyDescent="0.55000000000000004">
      <c r="D1">
        <v>1</v>
      </c>
      <c r="E1">
        <f>1+D1</f>
        <v>2</v>
      </c>
      <c r="F1">
        <f t="shared" ref="F1:H1" si="0">1+E1</f>
        <v>3</v>
      </c>
      <c r="G1">
        <f t="shared" si="0"/>
        <v>4</v>
      </c>
      <c r="H1">
        <f t="shared" si="0"/>
        <v>5</v>
      </c>
      <c r="I1">
        <f t="shared" ref="I1" si="1">1+H1</f>
        <v>6</v>
      </c>
      <c r="J1">
        <f t="shared" ref="J1" si="2">1+I1</f>
        <v>7</v>
      </c>
      <c r="K1">
        <f t="shared" ref="K1" si="3">1+J1</f>
        <v>8</v>
      </c>
      <c r="L1">
        <f t="shared" ref="L1" si="4">1+K1</f>
        <v>9</v>
      </c>
      <c r="M1">
        <f t="shared" ref="M1" si="5">1+L1</f>
        <v>10</v>
      </c>
      <c r="N1">
        <f t="shared" ref="N1" si="6">1+M1</f>
        <v>11</v>
      </c>
      <c r="O1">
        <f t="shared" ref="O1" si="7">1+N1</f>
        <v>12</v>
      </c>
      <c r="P1">
        <f t="shared" ref="P1" si="8">1+O1</f>
        <v>13</v>
      </c>
    </row>
    <row r="2" spans="1:16" x14ac:dyDescent="0.55000000000000004">
      <c r="A2">
        <v>1</v>
      </c>
      <c r="B2" t="s">
        <v>23</v>
      </c>
      <c r="C2" t="str">
        <f>IFERROR(_xlfn.TEXTAFTER(B2," / "),B2)</f>
        <v>UTC+0</v>
      </c>
      <c r="D2" s="4" t="str">
        <f>_xlfn.XLOOKUP($C2&amp;"-"&amp;D$1,NorthSouth!$F:$F,NorthSouth!$N:$N,"",0)</f>
        <v>London-N</v>
      </c>
      <c r="E2" s="4" t="str">
        <f>_xlfn.XLOOKUP($C2&amp;"-"&amp;E$1,NorthSouth!$F:$F,NorthSouth!$N:$N,"",0)</f>
        <v>Casablanca-N</v>
      </c>
      <c r="F2" s="4" t="str">
        <f>_xlfn.XLOOKUP($C2&amp;"-"&amp;F$1,NorthSouth!$F:$F,NorthSouth!$N:$N,"",0)</f>
        <v>Abidjan-N</v>
      </c>
      <c r="G2" s="4" t="str">
        <f>_xlfn.XLOOKUP($C2&amp;"-"&amp;G$1,NorthSouth!$F:$F,NorthSouth!$N:$N,"",0)</f>
        <v>Accra-S</v>
      </c>
      <c r="H2" s="4" t="str">
        <f>_xlfn.XLOOKUP($C2&amp;"-"&amp;H$1,NorthSouth!$F:$F,NorthSouth!$N:$N,"",0)</f>
        <v>Dakar-S</v>
      </c>
      <c r="I2" s="4" t="str">
        <f>_xlfn.XLOOKUP($C2&amp;"-"&amp;I$1,NorthSouth!$F:$F,NorthSouth!$N:$N,"",0)</f>
        <v>Dublin-N</v>
      </c>
      <c r="J2" s="4" t="str">
        <f>_xlfn.XLOOKUP($C2&amp;"-"&amp;J$1,NorthSouth!$F:$F,NorthSouth!$N:$N,"",0)</f>
        <v>Lisbon-N</v>
      </c>
      <c r="K2" s="4" t="str">
        <f>_xlfn.XLOOKUP($C2&amp;"-"&amp;K$1,NorthSouth!$F:$F,NorthSouth!$N:$N,"",0)</f>
        <v/>
      </c>
      <c r="L2" s="4" t="str">
        <f>_xlfn.XLOOKUP($C2&amp;"-"&amp;L$1,NorthSouth!$F:$F,NorthSouth!$N:$N,"",0)</f>
        <v/>
      </c>
      <c r="M2" s="4" t="str">
        <f>_xlfn.XLOOKUP($C2&amp;"-"&amp;M$1,NorthSouth!$F:$F,NorthSouth!$N:$N,"",0)</f>
        <v/>
      </c>
      <c r="N2" s="4" t="str">
        <f>_xlfn.XLOOKUP($C2&amp;"-"&amp;N$1,NorthSouth!$F:$F,NorthSouth!$N:$N,"",0)</f>
        <v/>
      </c>
      <c r="O2" s="4" t="str">
        <f>_xlfn.XLOOKUP($C2&amp;"-"&amp;O$1,NorthSouth!$F:$F,NorthSouth!$N:$N,"",0)</f>
        <v/>
      </c>
      <c r="P2" s="4" t="str">
        <f>_xlfn.XLOOKUP($C2&amp;"-"&amp;P$1,NorthSouth!$F:$F,NorthSouth!$N:$N,"",0)</f>
        <v/>
      </c>
    </row>
    <row r="3" spans="1:16" x14ac:dyDescent="0.55000000000000004">
      <c r="A3">
        <f>1+A2</f>
        <v>2</v>
      </c>
      <c r="B3" t="s">
        <v>24</v>
      </c>
      <c r="C3" t="str">
        <f t="shared" ref="C3:C25" si="9">IFERROR(_xlfn.TEXTAFTER(B3," / "),B3)</f>
        <v>UTC+1</v>
      </c>
      <c r="D3" s="4" t="str">
        <f>_xlfn.XLOOKUP($C3&amp;"-"&amp;D$1,NorthSouth!$F:$F,NorthSouth!$N:$N,"",0)</f>
        <v>Lagos-S</v>
      </c>
      <c r="E3" s="4" t="str">
        <f>_xlfn.XLOOKUP($C3&amp;"-"&amp;E$1,NorthSouth!$F:$F,NorthSouth!$N:$N,"",0)</f>
        <v>Kinshasa-S</v>
      </c>
      <c r="F3" s="4" t="str">
        <f>_xlfn.XLOOKUP($C3&amp;"-"&amp;F$1,NorthSouth!$F:$F,NorthSouth!$N:$N,"",0)</f>
        <v>Madrid-N</v>
      </c>
      <c r="G3" s="4" t="str">
        <f>_xlfn.XLOOKUP($C3&amp;"-"&amp;G$1,NorthSouth!$F:$F,NorthSouth!$N:$N,"",0)</f>
        <v>Berlin-N</v>
      </c>
      <c r="H3" s="4" t="str">
        <f>_xlfn.XLOOKUP($C3&amp;"-"&amp;H$1,NorthSouth!$F:$F,NorthSouth!$N:$N,"",0)</f>
        <v>Algiers-N</v>
      </c>
      <c r="I3" s="4" t="str">
        <f>_xlfn.XLOOKUP($C3&amp;"-"&amp;I$1,NorthSouth!$F:$F,NorthSouth!$N:$N,"",0)</f>
        <v>Paris-N</v>
      </c>
      <c r="J3" s="4" t="str">
        <f>_xlfn.XLOOKUP($C3&amp;"-"&amp;J$1,NorthSouth!$F:$F,NorthSouth!$N:$N,"",0)</f>
        <v>Rome-N</v>
      </c>
      <c r="K3" s="4" t="str">
        <f>_xlfn.XLOOKUP($C3&amp;"-"&amp;K$1,NorthSouth!$F:$F,NorthSouth!$N:$N,"",0)</f>
        <v/>
      </c>
      <c r="L3" s="4" t="str">
        <f>_xlfn.XLOOKUP($C3&amp;"-"&amp;L$1,NorthSouth!$F:$F,NorthSouth!$N:$N,"",0)</f>
        <v/>
      </c>
      <c r="M3" s="4" t="str">
        <f>_xlfn.XLOOKUP($C3&amp;"-"&amp;M$1,NorthSouth!$F:$F,NorthSouth!$N:$N,"",0)</f>
        <v/>
      </c>
      <c r="N3" s="4" t="str">
        <f>_xlfn.XLOOKUP($C3&amp;"-"&amp;N$1,NorthSouth!$F:$F,NorthSouth!$N:$N,"",0)</f>
        <v/>
      </c>
      <c r="O3" s="4" t="str">
        <f>_xlfn.XLOOKUP($C3&amp;"-"&amp;O$1,NorthSouth!$F:$F,NorthSouth!$N:$N,"",0)</f>
        <v/>
      </c>
      <c r="P3" s="4" t="str">
        <f>_xlfn.XLOOKUP($C3&amp;"-"&amp;P$1,NorthSouth!$F:$F,NorthSouth!$N:$N,"",0)</f>
        <v/>
      </c>
    </row>
    <row r="4" spans="1:16" x14ac:dyDescent="0.55000000000000004">
      <c r="A4">
        <f t="shared" ref="A4:A25" si="10">1+A3</f>
        <v>3</v>
      </c>
      <c r="B4" t="s">
        <v>25</v>
      </c>
      <c r="C4" t="str">
        <f t="shared" si="9"/>
        <v>UTC+2</v>
      </c>
      <c r="D4" s="4" t="str">
        <f>_xlfn.XLOOKUP($C4&amp;"-"&amp;D$1,NorthSouth!$F:$F,NorthSouth!$N:$N,"",0)</f>
        <v>Cairo-N</v>
      </c>
      <c r="E4" s="4" t="str">
        <f>_xlfn.XLOOKUP($C4&amp;"-"&amp;E$1,NorthSouth!$F:$F,NorthSouth!$N:$N,"",0)</f>
        <v>Johannesburg-S</v>
      </c>
      <c r="F4" s="4" t="str">
        <f>_xlfn.XLOOKUP($C4&amp;"-"&amp;F$1,NorthSouth!$F:$F,NorthSouth!$N:$N,"",0)</f>
        <v>Kyiv-N</v>
      </c>
      <c r="G4" s="4" t="str">
        <f>_xlfn.XLOOKUP($C4&amp;"-"&amp;G$1,NorthSouth!$F:$F,NorthSouth!$N:$N,"",0)</f>
        <v>Khartoum-N</v>
      </c>
      <c r="H4" s="4" t="str">
        <f>_xlfn.XLOOKUP($C4&amp;"-"&amp;H$1,NorthSouth!$F:$F,NorthSouth!$N:$N,"",0)</f>
        <v>Bucharest-N</v>
      </c>
      <c r="I4" s="4" t="str">
        <f>_xlfn.XLOOKUP($C4&amp;"-"&amp;I$1,NorthSouth!$F:$F,NorthSouth!$N:$N,"",0)</f>
        <v>Lusaka-S</v>
      </c>
      <c r="J4" s="4" t="str">
        <f>_xlfn.XLOOKUP($C4&amp;"-"&amp;J$1,NorthSouth!$F:$F,NorthSouth!$N:$N,"",0)</f>
        <v>Athens-N</v>
      </c>
      <c r="K4" s="4" t="str">
        <f>_xlfn.XLOOKUP($C4&amp;"-"&amp;K$1,NorthSouth!$F:$F,NorthSouth!$N:$N,"",0)</f>
        <v/>
      </c>
      <c r="L4" s="4" t="str">
        <f>_xlfn.XLOOKUP($C4&amp;"-"&amp;L$1,NorthSouth!$F:$F,NorthSouth!$N:$N,"",0)</f>
        <v/>
      </c>
      <c r="M4" s="4" t="str">
        <f>_xlfn.XLOOKUP($C4&amp;"-"&amp;M$1,NorthSouth!$F:$F,NorthSouth!$N:$N,"",0)</f>
        <v/>
      </c>
      <c r="N4" s="4" t="str">
        <f>_xlfn.XLOOKUP($C4&amp;"-"&amp;N$1,NorthSouth!$F:$F,NorthSouth!$N:$N,"",0)</f>
        <v/>
      </c>
      <c r="O4" s="4" t="str">
        <f>_xlfn.XLOOKUP($C4&amp;"-"&amp;O$1,NorthSouth!$F:$F,NorthSouth!$N:$N,"",0)</f>
        <v/>
      </c>
      <c r="P4" s="4" t="str">
        <f>_xlfn.XLOOKUP($C4&amp;"-"&amp;P$1,NorthSouth!$F:$F,NorthSouth!$N:$N,"",0)</f>
        <v/>
      </c>
    </row>
    <row r="5" spans="1:16" x14ac:dyDescent="0.55000000000000004">
      <c r="A5">
        <f t="shared" si="10"/>
        <v>4</v>
      </c>
      <c r="B5" t="s">
        <v>26</v>
      </c>
      <c r="C5" t="str">
        <f t="shared" si="9"/>
        <v>UTC+3</v>
      </c>
      <c r="D5" s="4" t="str">
        <f>_xlfn.XLOOKUP($C5&amp;"-"&amp;D$1,NorthSouth!$F:$F,NorthSouth!$N:$N,"",0)</f>
        <v>Istanbul-N</v>
      </c>
      <c r="E5" s="4" t="str">
        <f>_xlfn.XLOOKUP($C5&amp;"-"&amp;E$1,NorthSouth!$F:$F,NorthSouth!$N:$N,"",0)</f>
        <v>Moscow-N</v>
      </c>
      <c r="F5" s="4" t="str">
        <f>_xlfn.XLOOKUP($C5&amp;"-"&amp;F$1,NorthSouth!$F:$F,NorthSouth!$N:$N,"",0)</f>
        <v>Baghdad-N</v>
      </c>
      <c r="G5" s="4" t="str">
        <f>_xlfn.XLOOKUP($C5&amp;"-"&amp;G$1,NorthSouth!$F:$F,NorthSouth!$N:$N,"",0)</f>
        <v>Riyadh-N</v>
      </c>
      <c r="H5" s="4" t="str">
        <f>_xlfn.XLOOKUP($C5&amp;"-"&amp;H$1,NorthSouth!$F:$F,NorthSouth!$N:$N,"",0)</f>
        <v>Dar es Salaam-S</v>
      </c>
      <c r="I5" s="4" t="str">
        <f>_xlfn.XLOOKUP($C5&amp;"-"&amp;I$1,NorthSouth!$F:$F,NorthSouth!$N:$N,"",0)</f>
        <v>Nairobi-S</v>
      </c>
      <c r="J5" s="4" t="str">
        <f>_xlfn.XLOOKUP($C5&amp;"-"&amp;J$1,NorthSouth!$F:$F,NorthSouth!$N:$N,"",0)</f>
        <v>Addis Ababa-N</v>
      </c>
      <c r="K5" s="4" t="str">
        <f>_xlfn.XLOOKUP($C5&amp;"-"&amp;K$1,NorthSouth!$F:$F,NorthSouth!$N:$N,"",0)</f>
        <v/>
      </c>
      <c r="L5" s="4" t="str">
        <f>_xlfn.XLOOKUP($C5&amp;"-"&amp;L$1,NorthSouth!$F:$F,NorthSouth!$N:$N,"",0)</f>
        <v/>
      </c>
      <c r="M5" s="4" t="str">
        <f>_xlfn.XLOOKUP($C5&amp;"-"&amp;M$1,NorthSouth!$F:$F,NorthSouth!$N:$N,"",0)</f>
        <v/>
      </c>
      <c r="N5" s="4" t="str">
        <f>_xlfn.XLOOKUP($C5&amp;"-"&amp;N$1,NorthSouth!$F:$F,NorthSouth!$N:$N,"",0)</f>
        <v/>
      </c>
      <c r="O5" s="4" t="str">
        <f>_xlfn.XLOOKUP($C5&amp;"-"&amp;O$1,NorthSouth!$F:$F,NorthSouth!$N:$N,"",0)</f>
        <v/>
      </c>
      <c r="P5" s="4" t="str">
        <f>_xlfn.XLOOKUP($C5&amp;"-"&amp;P$1,NorthSouth!$F:$F,NorthSouth!$N:$N,"",0)</f>
        <v/>
      </c>
    </row>
    <row r="6" spans="1:16" x14ac:dyDescent="0.55000000000000004">
      <c r="A6">
        <f t="shared" si="10"/>
        <v>5</v>
      </c>
      <c r="B6" t="s">
        <v>27</v>
      </c>
      <c r="C6" t="str">
        <f t="shared" si="9"/>
        <v>UTC+4</v>
      </c>
      <c r="D6" s="4" t="str">
        <f>_xlfn.XLOOKUP($C6&amp;"-"&amp;D$1,NorthSouth!$F:$F,NorthSouth!$N:$N,"",0)</f>
        <v>Dubai-S</v>
      </c>
      <c r="E6" s="4" t="str">
        <f>_xlfn.XLOOKUP($C6&amp;"-"&amp;E$1,NorthSouth!$F:$F,NorthSouth!$N:$N,"",0)</f>
        <v>Baku-N</v>
      </c>
      <c r="F6" s="4" t="str">
        <f>_xlfn.XLOOKUP($C6&amp;"-"&amp;F$1,NorthSouth!$F:$F,NorthSouth!$N:$N,"",0)</f>
        <v>Muscat-N</v>
      </c>
      <c r="G6" s="4" t="str">
        <f>_xlfn.XLOOKUP($C6&amp;"-"&amp;G$1,NorthSouth!$F:$F,NorthSouth!$N:$N,"",0)</f>
        <v>Tbilisi-N</v>
      </c>
      <c r="H6" s="4" t="str">
        <f>_xlfn.XLOOKUP($C6&amp;"-"&amp;H$1,NorthSouth!$F:$F,NorthSouth!$N:$N,"",0)</f>
        <v>Yerevan-N</v>
      </c>
      <c r="I6" s="4" t="str">
        <f>_xlfn.XLOOKUP($C6&amp;"-"&amp;I$1,NorthSouth!$F:$F,NorthSouth!$N:$N,"",0)</f>
        <v>Samara-N</v>
      </c>
      <c r="J6" s="4" t="e">
        <f>_xlfn.XLOOKUP($C6&amp;"-"&amp;J$1,NorthSouth!$F:$F,NorthSouth!$N:$N,"",0)</f>
        <v>#N/A</v>
      </c>
      <c r="K6" s="4" t="str">
        <f>_xlfn.XLOOKUP($C6&amp;"-"&amp;K$1,NorthSouth!$F:$F,NorthSouth!$N:$N,"",0)</f>
        <v>Karachi-N</v>
      </c>
      <c r="L6" s="4" t="str">
        <f>_xlfn.XLOOKUP($C6&amp;"-"&amp;L$1,NorthSouth!$F:$F,NorthSouth!$N:$N,"",0)</f>
        <v>Lahore-N</v>
      </c>
      <c r="M6" s="4" t="str">
        <f>_xlfn.XLOOKUP($C6&amp;"-"&amp;M$1,NorthSouth!$F:$F,NorthSouth!$N:$N,"",0)</f>
        <v>Tashkent-N</v>
      </c>
      <c r="N6" s="4" t="str">
        <f>_xlfn.XLOOKUP($C6&amp;"-"&amp;N$1,NorthSouth!$F:$F,NorthSouth!$N:$N,"",0)</f>
        <v>Ekaterinburg-N</v>
      </c>
      <c r="O6" s="4" t="str">
        <f>_xlfn.XLOOKUP($C6&amp;"-"&amp;O$1,NorthSouth!$F:$F,NorthSouth!$N:$N,"",0)</f>
        <v>Ashgabat-N</v>
      </c>
      <c r="P6" s="4" t="str">
        <f>_xlfn.XLOOKUP($C6&amp;"-"&amp;P$1,NorthSouth!$F:$F,NorthSouth!$N:$N,"",0)</f>
        <v/>
      </c>
    </row>
    <row r="7" spans="1:16" x14ac:dyDescent="0.55000000000000004">
      <c r="A7">
        <f t="shared" si="10"/>
        <v>6</v>
      </c>
      <c r="B7" t="s">
        <v>46</v>
      </c>
      <c r="C7" t="str">
        <f t="shared" si="9"/>
        <v>UTC+5</v>
      </c>
      <c r="D7" s="4" t="str">
        <f>_xlfn.XLOOKUP($C7&amp;"-"&amp;D$1,NorthSouth!$F:$F,NorthSouth!$N:$N,"",0)</f>
        <v/>
      </c>
      <c r="E7" s="4" t="str">
        <f>_xlfn.XLOOKUP($C7&amp;"-"&amp;E$1,NorthSouth!$F:$F,NorthSouth!$N:$N,"",0)</f>
        <v/>
      </c>
      <c r="F7" s="4" t="str">
        <f>_xlfn.XLOOKUP($C7&amp;"-"&amp;F$1,NorthSouth!$F:$F,NorthSouth!$N:$N,"",0)</f>
        <v/>
      </c>
      <c r="G7" s="4" t="str">
        <f>_xlfn.XLOOKUP($C7&amp;"-"&amp;G$1,NorthSouth!$F:$F,NorthSouth!$N:$N,"",0)</f>
        <v/>
      </c>
      <c r="H7" s="4" t="str">
        <f>_xlfn.XLOOKUP($C7&amp;"-"&amp;H$1,NorthSouth!$F:$F,NorthSouth!$N:$N,"",0)</f>
        <v/>
      </c>
      <c r="I7" s="4" t="str">
        <f>_xlfn.XLOOKUP($C7&amp;"-"&amp;I$1,NorthSouth!$F:$F,NorthSouth!$N:$N,"",0)</f>
        <v/>
      </c>
      <c r="J7" s="4" t="str">
        <f>_xlfn.XLOOKUP($C7&amp;"-"&amp;J$1,NorthSouth!$F:$F,NorthSouth!$N:$N,"",0)</f>
        <v/>
      </c>
      <c r="K7" s="4" t="str">
        <f>_xlfn.XLOOKUP($C7&amp;"-"&amp;K$1,NorthSouth!$F:$F,NorthSouth!$N:$N,"",0)</f>
        <v/>
      </c>
      <c r="L7" s="4" t="str">
        <f>_xlfn.XLOOKUP($C7&amp;"-"&amp;L$1,NorthSouth!$F:$F,NorthSouth!$N:$N,"",0)</f>
        <v/>
      </c>
      <c r="M7" s="4" t="str">
        <f>_xlfn.XLOOKUP($C7&amp;"-"&amp;M$1,NorthSouth!$F:$F,NorthSouth!$N:$N,"",0)</f>
        <v/>
      </c>
      <c r="N7" s="4" t="str">
        <f>_xlfn.XLOOKUP($C7&amp;"-"&amp;N$1,NorthSouth!$F:$F,NorthSouth!$N:$N,"",0)</f>
        <v/>
      </c>
      <c r="O7" s="4" t="str">
        <f>_xlfn.XLOOKUP($C7&amp;"-"&amp;O$1,NorthSouth!$F:$F,NorthSouth!$N:$N,"",0)</f>
        <v/>
      </c>
      <c r="P7" s="4" t="str">
        <f>_xlfn.XLOOKUP($C7&amp;"-"&amp;P$1,NorthSouth!$F:$F,NorthSouth!$N:$N,"",0)</f>
        <v/>
      </c>
    </row>
    <row r="8" spans="1:16" x14ac:dyDescent="0.55000000000000004">
      <c r="A8">
        <f t="shared" si="10"/>
        <v>7</v>
      </c>
      <c r="B8" t="s">
        <v>28</v>
      </c>
      <c r="C8" t="str">
        <f t="shared" si="9"/>
        <v>UTC+6</v>
      </c>
      <c r="D8" s="4" t="str">
        <f>_xlfn.XLOOKUP($C8&amp;"-"&amp;D$1,NorthSouth!$F:$F,NorthSouth!$N:$N,"",0)</f>
        <v>Dhaka-N</v>
      </c>
      <c r="E8" s="4" t="str">
        <f>_xlfn.XLOOKUP($C8&amp;"-"&amp;E$1,NorthSouth!$F:$F,NorthSouth!$N:$N,"",0)</f>
        <v>Chittagong-N</v>
      </c>
      <c r="F8" s="4" t="str">
        <f>_xlfn.XLOOKUP($C8&amp;"-"&amp;F$1,NorthSouth!$F:$F,NorthSouth!$N:$N,"",0)</f>
        <v>Almaty-N</v>
      </c>
      <c r="G8" s="4" t="str">
        <f>_xlfn.XLOOKUP($C8&amp;"-"&amp;G$1,NorthSouth!$F:$F,NorthSouth!$N:$N,"",0)</f>
        <v>Astana-N</v>
      </c>
      <c r="H8" s="4" t="str">
        <f>_xlfn.XLOOKUP($C8&amp;"-"&amp;H$1,NorthSouth!$F:$F,NorthSouth!$N:$N,"",0)</f>
        <v>Bishkek-N</v>
      </c>
      <c r="I8" s="4" t="str">
        <f>_xlfn.XLOOKUP($C8&amp;"-"&amp;I$1,NorthSouth!$F:$F,NorthSouth!$N:$N,"",0)</f>
        <v/>
      </c>
      <c r="J8" s="4" t="str">
        <f>_xlfn.XLOOKUP($C8&amp;"-"&amp;J$1,NorthSouth!$F:$F,NorthSouth!$N:$N,"",0)</f>
        <v/>
      </c>
      <c r="K8" s="4" t="str">
        <f>_xlfn.XLOOKUP($C8&amp;"-"&amp;K$1,NorthSouth!$F:$F,NorthSouth!$N:$N,"",0)</f>
        <v/>
      </c>
      <c r="L8" s="4" t="str">
        <f>_xlfn.XLOOKUP($C8&amp;"-"&amp;L$1,NorthSouth!$F:$F,NorthSouth!$N:$N,"",0)</f>
        <v/>
      </c>
      <c r="M8" s="4" t="str">
        <f>_xlfn.XLOOKUP($C8&amp;"-"&amp;M$1,NorthSouth!$F:$F,NorthSouth!$N:$N,"",0)</f>
        <v/>
      </c>
      <c r="N8" s="4" t="str">
        <f>_xlfn.XLOOKUP($C8&amp;"-"&amp;N$1,NorthSouth!$F:$F,NorthSouth!$N:$N,"",0)</f>
        <v/>
      </c>
      <c r="O8" s="4" t="str">
        <f>_xlfn.XLOOKUP($C8&amp;"-"&amp;O$1,NorthSouth!$F:$F,NorthSouth!$N:$N,"",0)</f>
        <v/>
      </c>
      <c r="P8" s="4" t="str">
        <f>_xlfn.XLOOKUP($C8&amp;"-"&amp;P$1,NorthSouth!$F:$F,NorthSouth!$N:$N,"",0)</f>
        <v/>
      </c>
    </row>
    <row r="9" spans="1:16" x14ac:dyDescent="0.55000000000000004">
      <c r="A9">
        <f t="shared" si="10"/>
        <v>8</v>
      </c>
      <c r="B9" t="s">
        <v>29</v>
      </c>
      <c r="C9" t="str">
        <f t="shared" si="9"/>
        <v>UTC+7</v>
      </c>
      <c r="D9" s="4" t="str">
        <f>_xlfn.XLOOKUP($C9&amp;"-"&amp;D$1,NorthSouth!$F:$F,NorthSouth!$N:$N,"",0)</f>
        <v>Jakarta-S</v>
      </c>
      <c r="E9" s="4" t="str">
        <f>_xlfn.XLOOKUP($C9&amp;"-"&amp;E$1,NorthSouth!$F:$F,NorthSouth!$N:$N,"",0)</f>
        <v>Ho Chi Minh-N</v>
      </c>
      <c r="F9" s="4" t="str">
        <f>_xlfn.XLOOKUP($C9&amp;"-"&amp;F$1,NorthSouth!$F:$F,NorthSouth!$N:$N,"",0)</f>
        <v>Bangkok-N</v>
      </c>
      <c r="G9" s="4" t="str">
        <f>_xlfn.XLOOKUP($C9&amp;"-"&amp;G$1,NorthSouth!$F:$F,NorthSouth!$N:$N,"",0)</f>
        <v>Hanoi-N</v>
      </c>
      <c r="H9" s="4" t="str">
        <f>_xlfn.XLOOKUP($C9&amp;"-"&amp;H$1,NorthSouth!$F:$F,NorthSouth!$N:$N,"",0)</f>
        <v>Phnom Penh-N</v>
      </c>
      <c r="I9" s="4" t="str">
        <f>_xlfn.XLOOKUP($C9&amp;"-"&amp;I$1,NorthSouth!$F:$F,NorthSouth!$N:$N,"",0)</f>
        <v>Krasnoyarsk-N</v>
      </c>
      <c r="J9" s="4" t="str">
        <f>_xlfn.XLOOKUP($C9&amp;"-"&amp;J$1,NorthSouth!$F:$F,NorthSouth!$N:$N,"",0)</f>
        <v/>
      </c>
      <c r="K9" s="4" t="str">
        <f>_xlfn.XLOOKUP($C9&amp;"-"&amp;K$1,NorthSouth!$F:$F,NorthSouth!$N:$N,"",0)</f>
        <v/>
      </c>
      <c r="L9" s="4" t="str">
        <f>_xlfn.XLOOKUP($C9&amp;"-"&amp;L$1,NorthSouth!$F:$F,NorthSouth!$N:$N,"",0)</f>
        <v/>
      </c>
      <c r="M9" s="4" t="str">
        <f>_xlfn.XLOOKUP($C9&amp;"-"&amp;M$1,NorthSouth!$F:$F,NorthSouth!$N:$N,"",0)</f>
        <v/>
      </c>
      <c r="N9" s="4" t="str">
        <f>_xlfn.XLOOKUP($C9&amp;"-"&amp;N$1,NorthSouth!$F:$F,NorthSouth!$N:$N,"",0)</f>
        <v/>
      </c>
      <c r="O9" s="4" t="str">
        <f>_xlfn.XLOOKUP($C9&amp;"-"&amp;O$1,NorthSouth!$F:$F,NorthSouth!$N:$N,"",0)</f>
        <v/>
      </c>
      <c r="P9" s="4" t="str">
        <f>_xlfn.XLOOKUP($C9&amp;"-"&amp;P$1,NorthSouth!$F:$F,NorthSouth!$N:$N,"",0)</f>
        <v/>
      </c>
    </row>
    <row r="10" spans="1:16" x14ac:dyDescent="0.55000000000000004">
      <c r="A10">
        <f t="shared" si="10"/>
        <v>9</v>
      </c>
      <c r="B10" t="s">
        <v>30</v>
      </c>
      <c r="C10" t="str">
        <f t="shared" si="9"/>
        <v>UTC+8</v>
      </c>
      <c r="D10" s="4" t="str">
        <f>_xlfn.XLOOKUP($C10&amp;"-"&amp;D$1,NorthSouth!$F:$F,NorthSouth!$N:$N,"",0)</f>
        <v>Shanghai-N</v>
      </c>
      <c r="E10" s="4" t="str">
        <f>_xlfn.XLOOKUP($C10&amp;"-"&amp;E$1,NorthSouth!$F:$F,NorthSouth!$N:$N,"",0)</f>
        <v>Beijing-N</v>
      </c>
      <c r="F10" s="4" t="str">
        <f>_xlfn.XLOOKUP($C10&amp;"-"&amp;F$1,NorthSouth!$F:$F,NorthSouth!$N:$N,"",0)</f>
        <v>Guangzhou-N</v>
      </c>
      <c r="G10" s="4" t="str">
        <f>_xlfn.XLOOKUP($C10&amp;"-"&amp;G$1,NorthSouth!$F:$F,NorthSouth!$N:$N,"",0)</f>
        <v>Manila-N</v>
      </c>
      <c r="H10" s="4" t="str">
        <f>_xlfn.XLOOKUP($C10&amp;"-"&amp;H$1,NorthSouth!$F:$F,NorthSouth!$N:$N,"",0)</f>
        <v>Bali-S</v>
      </c>
      <c r="I10" s="4" t="str">
        <f>_xlfn.XLOOKUP($C10&amp;"-"&amp;I$1,NorthSouth!$F:$F,NorthSouth!$N:$N,"",0)</f>
        <v>Taipei-N</v>
      </c>
      <c r="J10" s="4" t="e">
        <f>_xlfn.XLOOKUP($C10&amp;"-"&amp;J$1,NorthSouth!$F:$F,NorthSouth!$N:$N,"",0)</f>
        <v>#N/A</v>
      </c>
      <c r="K10" s="4" t="str">
        <f>_xlfn.XLOOKUP($C10&amp;"-"&amp;K$1,NorthSouth!$F:$F,NorthSouth!$N:$N,"",0)</f>
        <v>Perth-S</v>
      </c>
      <c r="L10" s="4" t="str">
        <f>_xlfn.XLOOKUP($C10&amp;"-"&amp;L$1,NorthSouth!$F:$F,NorthSouth!$N:$N,"",0)</f>
        <v/>
      </c>
      <c r="M10" s="4" t="str">
        <f>_xlfn.XLOOKUP($C10&amp;"-"&amp;M$1,NorthSouth!$F:$F,NorthSouth!$N:$N,"",0)</f>
        <v/>
      </c>
      <c r="N10" s="4" t="str">
        <f>_xlfn.XLOOKUP($C10&amp;"-"&amp;N$1,NorthSouth!$F:$F,NorthSouth!$N:$N,"",0)</f>
        <v/>
      </c>
      <c r="O10" s="4" t="str">
        <f>_xlfn.XLOOKUP($C10&amp;"-"&amp;O$1,NorthSouth!$F:$F,NorthSouth!$N:$N,"",0)</f>
        <v/>
      </c>
      <c r="P10" s="4" t="str">
        <f>_xlfn.XLOOKUP($C10&amp;"-"&amp;P$1,NorthSouth!$F:$F,NorthSouth!$N:$N,"",0)</f>
        <v/>
      </c>
    </row>
    <row r="11" spans="1:16" x14ac:dyDescent="0.55000000000000004">
      <c r="A11">
        <f t="shared" si="10"/>
        <v>10</v>
      </c>
      <c r="B11" t="s">
        <v>31</v>
      </c>
      <c r="C11" t="str">
        <f t="shared" si="9"/>
        <v>UTC+9</v>
      </c>
      <c r="D11" s="4" t="str">
        <f>_xlfn.XLOOKUP($C11&amp;"-"&amp;D$1,NorthSouth!$F:$F,NorthSouth!$N:$N,"",0)</f>
        <v>Tokyo-N</v>
      </c>
      <c r="E11" s="4" t="str">
        <f>_xlfn.XLOOKUP($C11&amp;"-"&amp;E$1,NorthSouth!$F:$F,NorthSouth!$N:$N,"",0)</f>
        <v>Seoul-N</v>
      </c>
      <c r="F11" s="4" t="str">
        <f>_xlfn.XLOOKUP($C11&amp;"-"&amp;F$1,NorthSouth!$F:$F,NorthSouth!$N:$N,"",0)</f>
        <v>Busan-N</v>
      </c>
      <c r="G11" s="4" t="str">
        <f>_xlfn.XLOOKUP($C11&amp;"-"&amp;G$1,NorthSouth!$F:$F,NorthSouth!$N:$N,"",0)</f>
        <v>Pyongyang-N</v>
      </c>
      <c r="H11" s="4" t="str">
        <f>_xlfn.XLOOKUP($C11&amp;"-"&amp;H$1,NorthSouth!$F:$F,NorthSouth!$N:$N,"",0)</f>
        <v>Osaka-N</v>
      </c>
      <c r="I11" s="4" t="str">
        <f>_xlfn.XLOOKUP($C11&amp;"-"&amp;I$1,NorthSouth!$F:$F,NorthSouth!$N:$N,"",0)</f>
        <v/>
      </c>
      <c r="J11" s="4" t="str">
        <f>_xlfn.XLOOKUP($C11&amp;"-"&amp;J$1,NorthSouth!$F:$F,NorthSouth!$N:$N,"",0)</f>
        <v/>
      </c>
      <c r="K11" s="4" t="str">
        <f>_xlfn.XLOOKUP($C11&amp;"-"&amp;K$1,NorthSouth!$F:$F,NorthSouth!$N:$N,"",0)</f>
        <v/>
      </c>
      <c r="L11" s="4" t="str">
        <f>_xlfn.XLOOKUP($C11&amp;"-"&amp;L$1,NorthSouth!$F:$F,NorthSouth!$N:$N,"",0)</f>
        <v/>
      </c>
      <c r="M11" s="4" t="str">
        <f>_xlfn.XLOOKUP($C11&amp;"-"&amp;M$1,NorthSouth!$F:$F,NorthSouth!$N:$N,"",0)</f>
        <v/>
      </c>
      <c r="N11" s="4" t="str">
        <f>_xlfn.XLOOKUP($C11&amp;"-"&amp;N$1,NorthSouth!$F:$F,NorthSouth!$N:$N,"",0)</f>
        <v/>
      </c>
      <c r="O11" s="4" t="str">
        <f>_xlfn.XLOOKUP($C11&amp;"-"&amp;O$1,NorthSouth!$F:$F,NorthSouth!$N:$N,"",0)</f>
        <v/>
      </c>
      <c r="P11" s="4" t="str">
        <f>_xlfn.XLOOKUP($C11&amp;"-"&amp;P$1,NorthSouth!$F:$F,NorthSouth!$N:$N,"",0)</f>
        <v/>
      </c>
    </row>
    <row r="12" spans="1:16" x14ac:dyDescent="0.55000000000000004">
      <c r="A12">
        <f t="shared" si="10"/>
        <v>11</v>
      </c>
      <c r="B12" t="s">
        <v>32</v>
      </c>
      <c r="C12" t="str">
        <f t="shared" si="9"/>
        <v>UTC+10</v>
      </c>
      <c r="D12" s="4" t="str">
        <f>_xlfn.XLOOKUP($C12&amp;"-"&amp;D$1,NorthSouth!$F:$F,NorthSouth!$N:$N,"",0)</f>
        <v>Sydney-S</v>
      </c>
      <c r="E12" s="4" t="str">
        <f>_xlfn.XLOOKUP($C12&amp;"-"&amp;E$1,NorthSouth!$F:$F,NorthSouth!$N:$N,"",0)</f>
        <v>Melbourne-S</v>
      </c>
      <c r="F12" s="4" t="str">
        <f>_xlfn.XLOOKUP($C12&amp;"-"&amp;F$1,NorthSouth!$F:$F,NorthSouth!$N:$N,"",0)</f>
        <v>Brisbane-S</v>
      </c>
      <c r="G12" s="4" t="str">
        <f>_xlfn.XLOOKUP($C12&amp;"-"&amp;G$1,NorthSouth!$F:$F,NorthSouth!$N:$N,"",0)</f>
        <v>Vladivostok-N</v>
      </c>
      <c r="H12" s="4" t="str">
        <f>_xlfn.XLOOKUP($C12&amp;"-"&amp;H$1,NorthSouth!$F:$F,NorthSouth!$N:$N,"",0)</f>
        <v>Port Moresby-S</v>
      </c>
      <c r="I12" s="4" t="str">
        <f>_xlfn.XLOOKUP($C12&amp;"-"&amp;I$1,NorthSouth!$F:$F,NorthSouth!$N:$N,"",0)</f>
        <v/>
      </c>
      <c r="J12" s="4" t="str">
        <f>_xlfn.XLOOKUP($C12&amp;"-"&amp;J$1,NorthSouth!$F:$F,NorthSouth!$N:$N,"",0)</f>
        <v/>
      </c>
      <c r="K12" s="4" t="str">
        <f>_xlfn.XLOOKUP($C12&amp;"-"&amp;K$1,NorthSouth!$F:$F,NorthSouth!$N:$N,"",0)</f>
        <v/>
      </c>
      <c r="L12" s="4" t="str">
        <f>_xlfn.XLOOKUP($C12&amp;"-"&amp;L$1,NorthSouth!$F:$F,NorthSouth!$N:$N,"",0)</f>
        <v/>
      </c>
      <c r="M12" s="4" t="str">
        <f>_xlfn.XLOOKUP($C12&amp;"-"&amp;M$1,NorthSouth!$F:$F,NorthSouth!$N:$N,"",0)</f>
        <v/>
      </c>
      <c r="N12" s="4" t="str">
        <f>_xlfn.XLOOKUP($C12&amp;"-"&amp;N$1,NorthSouth!$F:$F,NorthSouth!$N:$N,"",0)</f>
        <v/>
      </c>
      <c r="O12" s="4" t="str">
        <f>_xlfn.XLOOKUP($C12&amp;"-"&amp;O$1,NorthSouth!$F:$F,NorthSouth!$N:$N,"",0)</f>
        <v/>
      </c>
      <c r="P12" s="4" t="str">
        <f>_xlfn.XLOOKUP($C12&amp;"-"&amp;P$1,NorthSouth!$F:$F,NorthSouth!$N:$N,"",0)</f>
        <v/>
      </c>
    </row>
    <row r="13" spans="1:16" x14ac:dyDescent="0.55000000000000004">
      <c r="A13">
        <f t="shared" si="10"/>
        <v>12</v>
      </c>
      <c r="B13" t="s">
        <v>33</v>
      </c>
      <c r="C13" t="str">
        <f t="shared" si="9"/>
        <v>UTC+11</v>
      </c>
      <c r="D13" s="4" t="str">
        <f>_xlfn.XLOOKUP($C13&amp;"-"&amp;D$1,NorthSouth!$F:$F,NorthSouth!$N:$N,"",0)</f>
        <v>Nouméa-S</v>
      </c>
      <c r="E13" s="4" t="str">
        <f>_xlfn.XLOOKUP($C13&amp;"-"&amp;E$1,NorthSouth!$F:$F,NorthSouth!$N:$N,"",0)</f>
        <v>Honiara-S</v>
      </c>
      <c r="F13" s="4" t="str">
        <f>_xlfn.XLOOKUP($C13&amp;"-"&amp;F$1,NorthSouth!$F:$F,NorthSouth!$N:$N,"",0)</f>
        <v>Magadan-N</v>
      </c>
      <c r="G13" s="4" t="str">
        <f>_xlfn.XLOOKUP($C13&amp;"-"&amp;G$1,NorthSouth!$F:$F,NorthSouth!$N:$N,"",0)</f>
        <v/>
      </c>
      <c r="H13" s="4" t="str">
        <f>_xlfn.XLOOKUP($C13&amp;"-"&amp;H$1,NorthSouth!$F:$F,NorthSouth!$N:$N,"",0)</f>
        <v/>
      </c>
      <c r="I13" s="4" t="str">
        <f>_xlfn.XLOOKUP($C13&amp;"-"&amp;I$1,NorthSouth!$F:$F,NorthSouth!$N:$N,"",0)</f>
        <v/>
      </c>
      <c r="J13" s="4" t="str">
        <f>_xlfn.XLOOKUP($C13&amp;"-"&amp;J$1,NorthSouth!$F:$F,NorthSouth!$N:$N,"",0)</f>
        <v/>
      </c>
      <c r="K13" s="4" t="str">
        <f>_xlfn.XLOOKUP($C13&amp;"-"&amp;K$1,NorthSouth!$F:$F,NorthSouth!$N:$N,"",0)</f>
        <v/>
      </c>
      <c r="L13" s="4" t="str">
        <f>_xlfn.XLOOKUP($C13&amp;"-"&amp;L$1,NorthSouth!$F:$F,NorthSouth!$N:$N,"",0)</f>
        <v/>
      </c>
      <c r="M13" s="4" t="str">
        <f>_xlfn.XLOOKUP($C13&amp;"-"&amp;M$1,NorthSouth!$F:$F,NorthSouth!$N:$N,"",0)</f>
        <v/>
      </c>
      <c r="N13" s="4" t="str">
        <f>_xlfn.XLOOKUP($C13&amp;"-"&amp;N$1,NorthSouth!$F:$F,NorthSouth!$N:$N,"",0)</f>
        <v/>
      </c>
      <c r="O13" s="4" t="str">
        <f>_xlfn.XLOOKUP($C13&amp;"-"&amp;O$1,NorthSouth!$F:$F,NorthSouth!$N:$N,"",0)</f>
        <v/>
      </c>
      <c r="P13" s="4" t="str">
        <f>_xlfn.XLOOKUP($C13&amp;"-"&amp;P$1,NorthSouth!$F:$F,NorthSouth!$N:$N,"",0)</f>
        <v/>
      </c>
    </row>
    <row r="14" spans="1:16" x14ac:dyDescent="0.55000000000000004">
      <c r="A14">
        <f t="shared" si="10"/>
        <v>13</v>
      </c>
      <c r="B14" t="s">
        <v>34</v>
      </c>
      <c r="C14" t="str">
        <f t="shared" si="9"/>
        <v>UTC+12</v>
      </c>
      <c r="D14" s="4" t="str">
        <f>_xlfn.XLOOKUP($C14&amp;"-"&amp;D$1,NorthSouth!$F:$F,NorthSouth!$N:$N,"",0)</f>
        <v>Auckland-S</v>
      </c>
      <c r="E14" s="4" t="str">
        <f>_xlfn.XLOOKUP($C14&amp;"-"&amp;E$1,NorthSouth!$F:$F,NorthSouth!$N:$N,"",0)</f>
        <v>Wellington-S</v>
      </c>
      <c r="F14" s="4" t="str">
        <f>_xlfn.XLOOKUP($C14&amp;"-"&amp;F$1,NorthSouth!$F:$F,NorthSouth!$N:$N,"",0)</f>
        <v>Suva-S</v>
      </c>
      <c r="G14" s="4" t="str">
        <f>_xlfn.XLOOKUP($C14&amp;"-"&amp;G$1,NorthSouth!$F:$F,NorthSouth!$N:$N,"",0)</f>
        <v/>
      </c>
      <c r="H14" s="4" t="str">
        <f>_xlfn.XLOOKUP($C14&amp;"-"&amp;H$1,NorthSouth!$F:$F,NorthSouth!$N:$N,"",0)</f>
        <v/>
      </c>
      <c r="I14" s="4" t="str">
        <f>_xlfn.XLOOKUP($C14&amp;"-"&amp;I$1,NorthSouth!$F:$F,NorthSouth!$N:$N,"",0)</f>
        <v/>
      </c>
      <c r="J14" s="4" t="str">
        <f>_xlfn.XLOOKUP($C14&amp;"-"&amp;J$1,NorthSouth!$F:$F,NorthSouth!$N:$N,"",0)</f>
        <v/>
      </c>
      <c r="K14" s="4" t="str">
        <f>_xlfn.XLOOKUP($C14&amp;"-"&amp;K$1,NorthSouth!$F:$F,NorthSouth!$N:$N,"",0)</f>
        <v/>
      </c>
      <c r="L14" s="4" t="str">
        <f>_xlfn.XLOOKUP($C14&amp;"-"&amp;L$1,NorthSouth!$F:$F,NorthSouth!$N:$N,"",0)</f>
        <v/>
      </c>
      <c r="M14" s="4" t="str">
        <f>_xlfn.XLOOKUP($C14&amp;"-"&amp;M$1,NorthSouth!$F:$F,NorthSouth!$N:$N,"",0)</f>
        <v/>
      </c>
      <c r="N14" s="4" t="str">
        <f>_xlfn.XLOOKUP($C14&amp;"-"&amp;N$1,NorthSouth!$F:$F,NorthSouth!$N:$N,"",0)</f>
        <v/>
      </c>
      <c r="O14" s="4" t="str">
        <f>_xlfn.XLOOKUP($C14&amp;"-"&amp;O$1,NorthSouth!$F:$F,NorthSouth!$N:$N,"",0)</f>
        <v/>
      </c>
      <c r="P14" s="4" t="str">
        <f>_xlfn.XLOOKUP($C14&amp;"-"&amp;P$1,NorthSouth!$F:$F,NorthSouth!$N:$N,"",0)</f>
        <v/>
      </c>
    </row>
    <row r="15" spans="1:16" x14ac:dyDescent="0.55000000000000004">
      <c r="A15">
        <f t="shared" si="10"/>
        <v>14</v>
      </c>
      <c r="B15" t="s">
        <v>35</v>
      </c>
      <c r="C15" t="str">
        <f t="shared" si="9"/>
        <v>UTC-11</v>
      </c>
      <c r="D15" s="4" t="str">
        <f>_xlfn.XLOOKUP($C15&amp;"-"&amp;D$1,NorthSouth!$F:$F,NorthSouth!$N:$N,"",0)</f>
        <v>Pago Pago-S</v>
      </c>
      <c r="E15" s="4" t="str">
        <f>_xlfn.XLOOKUP($C15&amp;"-"&amp;E$1,NorthSouth!$F:$F,NorthSouth!$N:$N,"",0)</f>
        <v/>
      </c>
      <c r="F15" s="4" t="str">
        <f>_xlfn.XLOOKUP($C15&amp;"-"&amp;F$1,NorthSouth!$F:$F,NorthSouth!$N:$N,"",0)</f>
        <v/>
      </c>
      <c r="G15" s="4" t="str">
        <f>_xlfn.XLOOKUP($C15&amp;"-"&amp;G$1,NorthSouth!$F:$F,NorthSouth!$N:$N,"",0)</f>
        <v/>
      </c>
      <c r="H15" s="4" t="str">
        <f>_xlfn.XLOOKUP($C15&amp;"-"&amp;H$1,NorthSouth!$F:$F,NorthSouth!$N:$N,"",0)</f>
        <v/>
      </c>
      <c r="I15" s="4" t="str">
        <f>_xlfn.XLOOKUP($C15&amp;"-"&amp;I$1,NorthSouth!$F:$F,NorthSouth!$N:$N,"",0)</f>
        <v/>
      </c>
      <c r="J15" s="4" t="str">
        <f>_xlfn.XLOOKUP($C15&amp;"-"&amp;J$1,NorthSouth!$F:$F,NorthSouth!$N:$N,"",0)</f>
        <v/>
      </c>
      <c r="K15" s="4" t="str">
        <f>_xlfn.XLOOKUP($C15&amp;"-"&amp;K$1,NorthSouth!$F:$F,NorthSouth!$N:$N,"",0)</f>
        <v/>
      </c>
      <c r="L15" s="4" t="str">
        <f>_xlfn.XLOOKUP($C15&amp;"-"&amp;L$1,NorthSouth!$F:$F,NorthSouth!$N:$N,"",0)</f>
        <v/>
      </c>
      <c r="M15" s="4" t="str">
        <f>_xlfn.XLOOKUP($C15&amp;"-"&amp;M$1,NorthSouth!$F:$F,NorthSouth!$N:$N,"",0)</f>
        <v/>
      </c>
      <c r="N15" s="4" t="str">
        <f>_xlfn.XLOOKUP($C15&amp;"-"&amp;N$1,NorthSouth!$F:$F,NorthSouth!$N:$N,"",0)</f>
        <v/>
      </c>
      <c r="O15" s="4" t="str">
        <f>_xlfn.XLOOKUP($C15&amp;"-"&amp;O$1,NorthSouth!$F:$F,NorthSouth!$N:$N,"",0)</f>
        <v/>
      </c>
      <c r="P15" s="4" t="str">
        <f>_xlfn.XLOOKUP($C15&amp;"-"&amp;P$1,NorthSouth!$F:$F,NorthSouth!$N:$N,"",0)</f>
        <v/>
      </c>
    </row>
    <row r="16" spans="1:16" x14ac:dyDescent="0.55000000000000004">
      <c r="A16">
        <f t="shared" si="10"/>
        <v>15</v>
      </c>
      <c r="B16" t="s">
        <v>36</v>
      </c>
      <c r="C16" t="str">
        <f t="shared" si="9"/>
        <v>UTC-10</v>
      </c>
      <c r="D16" s="4" t="str">
        <f>_xlfn.XLOOKUP($C16&amp;"-"&amp;D$1,NorthSouth!$F:$F,NorthSouth!$N:$N,"",0)</f>
        <v>Honolulu-N</v>
      </c>
      <c r="E16" s="4" t="str">
        <f>_xlfn.XLOOKUP($C16&amp;"-"&amp;E$1,NorthSouth!$F:$F,NorthSouth!$N:$N,"",0)</f>
        <v/>
      </c>
      <c r="F16" s="4" t="str">
        <f>_xlfn.XLOOKUP($C16&amp;"-"&amp;F$1,NorthSouth!$F:$F,NorthSouth!$N:$N,"",0)</f>
        <v/>
      </c>
      <c r="G16" s="4" t="str">
        <f>_xlfn.XLOOKUP($C16&amp;"-"&amp;G$1,NorthSouth!$F:$F,NorthSouth!$N:$N,"",0)</f>
        <v/>
      </c>
      <c r="H16" s="4" t="str">
        <f>_xlfn.XLOOKUP($C16&amp;"-"&amp;H$1,NorthSouth!$F:$F,NorthSouth!$N:$N,"",0)</f>
        <v/>
      </c>
      <c r="I16" s="4" t="str">
        <f>_xlfn.XLOOKUP($C16&amp;"-"&amp;I$1,NorthSouth!$F:$F,NorthSouth!$N:$N,"",0)</f>
        <v/>
      </c>
      <c r="J16" s="4" t="str">
        <f>_xlfn.XLOOKUP($C16&amp;"-"&amp;J$1,NorthSouth!$F:$F,NorthSouth!$N:$N,"",0)</f>
        <v/>
      </c>
      <c r="K16" s="4" t="str">
        <f>_xlfn.XLOOKUP($C16&amp;"-"&amp;K$1,NorthSouth!$F:$F,NorthSouth!$N:$N,"",0)</f>
        <v/>
      </c>
      <c r="L16" s="4" t="str">
        <f>_xlfn.XLOOKUP($C16&amp;"-"&amp;L$1,NorthSouth!$F:$F,NorthSouth!$N:$N,"",0)</f>
        <v/>
      </c>
      <c r="M16" s="4" t="str">
        <f>_xlfn.XLOOKUP($C16&amp;"-"&amp;M$1,NorthSouth!$F:$F,NorthSouth!$N:$N,"",0)</f>
        <v/>
      </c>
      <c r="N16" s="4" t="str">
        <f>_xlfn.XLOOKUP($C16&amp;"-"&amp;N$1,NorthSouth!$F:$F,NorthSouth!$N:$N,"",0)</f>
        <v/>
      </c>
      <c r="O16" s="4" t="str">
        <f>_xlfn.XLOOKUP($C16&amp;"-"&amp;O$1,NorthSouth!$F:$F,NorthSouth!$N:$N,"",0)</f>
        <v/>
      </c>
      <c r="P16" s="4" t="str">
        <f>_xlfn.XLOOKUP($C16&amp;"-"&amp;P$1,NorthSouth!$F:$F,NorthSouth!$N:$N,"",0)</f>
        <v/>
      </c>
    </row>
    <row r="17" spans="1:16" x14ac:dyDescent="0.55000000000000004">
      <c r="A17">
        <f t="shared" si="10"/>
        <v>16</v>
      </c>
      <c r="B17" t="s">
        <v>37</v>
      </c>
      <c r="C17" t="str">
        <f t="shared" si="9"/>
        <v>UTC-9</v>
      </c>
      <c r="D17" s="4" t="str">
        <f>_xlfn.XLOOKUP($C17&amp;"-"&amp;D$1,NorthSouth!$F:$F,NorthSouth!$N:$N,"",0)</f>
        <v>Anchorage-N</v>
      </c>
      <c r="E17" s="4" t="str">
        <f>_xlfn.XLOOKUP($C17&amp;"-"&amp;E$1,NorthSouth!$F:$F,NorthSouth!$N:$N,"",0)</f>
        <v/>
      </c>
      <c r="F17" s="4" t="str">
        <f>_xlfn.XLOOKUP($C17&amp;"-"&amp;F$1,NorthSouth!$F:$F,NorthSouth!$N:$N,"",0)</f>
        <v/>
      </c>
      <c r="G17" s="4" t="str">
        <f>_xlfn.XLOOKUP($C17&amp;"-"&amp;G$1,NorthSouth!$F:$F,NorthSouth!$N:$N,"",0)</f>
        <v/>
      </c>
      <c r="H17" s="4" t="str">
        <f>_xlfn.XLOOKUP($C17&amp;"-"&amp;H$1,NorthSouth!$F:$F,NorthSouth!$N:$N,"",0)</f>
        <v/>
      </c>
      <c r="I17" s="4" t="str">
        <f>_xlfn.XLOOKUP($C17&amp;"-"&amp;I$1,NorthSouth!$F:$F,NorthSouth!$N:$N,"",0)</f>
        <v/>
      </c>
      <c r="J17" s="4" t="str">
        <f>_xlfn.XLOOKUP($C17&amp;"-"&amp;J$1,NorthSouth!$F:$F,NorthSouth!$N:$N,"",0)</f>
        <v/>
      </c>
      <c r="K17" s="4" t="str">
        <f>_xlfn.XLOOKUP($C17&amp;"-"&amp;K$1,NorthSouth!$F:$F,NorthSouth!$N:$N,"",0)</f>
        <v/>
      </c>
      <c r="L17" s="4" t="str">
        <f>_xlfn.XLOOKUP($C17&amp;"-"&amp;L$1,NorthSouth!$F:$F,NorthSouth!$N:$N,"",0)</f>
        <v/>
      </c>
      <c r="M17" s="4" t="str">
        <f>_xlfn.XLOOKUP($C17&amp;"-"&amp;M$1,NorthSouth!$F:$F,NorthSouth!$N:$N,"",0)</f>
        <v/>
      </c>
      <c r="N17" s="4" t="str">
        <f>_xlfn.XLOOKUP($C17&amp;"-"&amp;N$1,NorthSouth!$F:$F,NorthSouth!$N:$N,"",0)</f>
        <v/>
      </c>
      <c r="O17" s="4" t="str">
        <f>_xlfn.XLOOKUP($C17&amp;"-"&amp;O$1,NorthSouth!$F:$F,NorthSouth!$N:$N,"",0)</f>
        <v/>
      </c>
      <c r="P17" s="4" t="str">
        <f>_xlfn.XLOOKUP($C17&amp;"-"&amp;P$1,NorthSouth!$F:$F,NorthSouth!$N:$N,"",0)</f>
        <v/>
      </c>
    </row>
    <row r="18" spans="1:16" x14ac:dyDescent="0.55000000000000004">
      <c r="A18">
        <f t="shared" si="10"/>
        <v>17</v>
      </c>
      <c r="B18" t="s">
        <v>38</v>
      </c>
      <c r="C18" t="str">
        <f t="shared" si="9"/>
        <v>UTC-8</v>
      </c>
      <c r="D18" s="4" t="str">
        <f>_xlfn.XLOOKUP($C18&amp;"-"&amp;D$1,NorthSouth!$F:$F,NorthSouth!$N:$N,"",0)</f>
        <v>Los Angeles-N</v>
      </c>
      <c r="E18" s="4" t="str">
        <f>_xlfn.XLOOKUP($C18&amp;"-"&amp;E$1,NorthSouth!$F:$F,NorthSouth!$N:$N,"",0)</f>
        <v>Tijuana-N</v>
      </c>
      <c r="F18" s="4" t="str">
        <f>_xlfn.XLOOKUP($C18&amp;"-"&amp;F$1,NorthSouth!$F:$F,NorthSouth!$N:$N,"",0)</f>
        <v>San Francisco-N</v>
      </c>
      <c r="G18" s="4" t="str">
        <f>_xlfn.XLOOKUP($C18&amp;"-"&amp;G$1,NorthSouth!$F:$F,NorthSouth!$N:$N,"",0)</f>
        <v>Seattle-N</v>
      </c>
      <c r="H18" s="4" t="str">
        <f>_xlfn.XLOOKUP($C18&amp;"-"&amp;H$1,NorthSouth!$F:$F,NorthSouth!$N:$N,"",0)</f>
        <v>Vancouver-N</v>
      </c>
      <c r="I18" s="4" t="str">
        <f>_xlfn.XLOOKUP($C18&amp;"-"&amp;I$1,NorthSouth!$F:$F,NorthSouth!$N:$N,"",0)</f>
        <v/>
      </c>
      <c r="J18" s="4" t="str">
        <f>_xlfn.XLOOKUP($C18&amp;"-"&amp;J$1,NorthSouth!$F:$F,NorthSouth!$N:$N,"",0)</f>
        <v/>
      </c>
      <c r="K18" s="4" t="str">
        <f>_xlfn.XLOOKUP($C18&amp;"-"&amp;K$1,NorthSouth!$F:$F,NorthSouth!$N:$N,"",0)</f>
        <v/>
      </c>
      <c r="L18" s="4" t="str">
        <f>_xlfn.XLOOKUP($C18&amp;"-"&amp;L$1,NorthSouth!$F:$F,NorthSouth!$N:$N,"",0)</f>
        <v/>
      </c>
      <c r="M18" s="4" t="str">
        <f>_xlfn.XLOOKUP($C18&amp;"-"&amp;M$1,NorthSouth!$F:$F,NorthSouth!$N:$N,"",0)</f>
        <v/>
      </c>
      <c r="N18" s="4" t="str">
        <f>_xlfn.XLOOKUP($C18&amp;"-"&amp;N$1,NorthSouth!$F:$F,NorthSouth!$N:$N,"",0)</f>
        <v/>
      </c>
      <c r="O18" s="4" t="str">
        <f>_xlfn.XLOOKUP($C18&amp;"-"&amp;O$1,NorthSouth!$F:$F,NorthSouth!$N:$N,"",0)</f>
        <v/>
      </c>
      <c r="P18" s="4" t="str">
        <f>_xlfn.XLOOKUP($C18&amp;"-"&amp;P$1,NorthSouth!$F:$F,NorthSouth!$N:$N,"",0)</f>
        <v/>
      </c>
    </row>
    <row r="19" spans="1:16" x14ac:dyDescent="0.55000000000000004">
      <c r="A19">
        <f t="shared" si="10"/>
        <v>18</v>
      </c>
      <c r="B19" t="s">
        <v>39</v>
      </c>
      <c r="C19" t="str">
        <f t="shared" si="9"/>
        <v>UTC-7</v>
      </c>
      <c r="D19" s="4" t="str">
        <f>_xlfn.XLOOKUP($C19&amp;"-"&amp;D$1,NorthSouth!$F:$F,NorthSouth!$N:$N,"",0)</f>
        <v>Phoenix-N</v>
      </c>
      <c r="E19" s="4" t="str">
        <f>_xlfn.XLOOKUP($C19&amp;"-"&amp;E$1,NorthSouth!$F:$F,NorthSouth!$N:$N,"",0)</f>
        <v>Ciudad Juárez-N</v>
      </c>
      <c r="F19" s="4" t="str">
        <f>_xlfn.XLOOKUP($C19&amp;"-"&amp;F$1,NorthSouth!$F:$F,NorthSouth!$N:$N,"",0)</f>
        <v>Calgary-N</v>
      </c>
      <c r="G19" s="4" t="str">
        <f>_xlfn.XLOOKUP($C19&amp;"-"&amp;G$1,NorthSouth!$F:$F,NorthSouth!$N:$N,"",0)</f>
        <v>Edmonton-N</v>
      </c>
      <c r="H19" s="4" t="str">
        <f>_xlfn.XLOOKUP($C19&amp;"-"&amp;H$1,NorthSouth!$F:$F,NorthSouth!$N:$N,"",0)</f>
        <v>Denver-N</v>
      </c>
      <c r="I19" s="4" t="str">
        <f>_xlfn.XLOOKUP($C19&amp;"-"&amp;I$1,NorthSouth!$F:$F,NorthSouth!$N:$N,"",0)</f>
        <v/>
      </c>
      <c r="J19" s="4" t="str">
        <f>_xlfn.XLOOKUP($C19&amp;"-"&amp;J$1,NorthSouth!$F:$F,NorthSouth!$N:$N,"",0)</f>
        <v/>
      </c>
      <c r="K19" s="4" t="str">
        <f>_xlfn.XLOOKUP($C19&amp;"-"&amp;K$1,NorthSouth!$F:$F,NorthSouth!$N:$N,"",0)</f>
        <v/>
      </c>
      <c r="L19" s="4" t="str">
        <f>_xlfn.XLOOKUP($C19&amp;"-"&amp;L$1,NorthSouth!$F:$F,NorthSouth!$N:$N,"",0)</f>
        <v/>
      </c>
      <c r="M19" s="4" t="str">
        <f>_xlfn.XLOOKUP($C19&amp;"-"&amp;M$1,NorthSouth!$F:$F,NorthSouth!$N:$N,"",0)</f>
        <v/>
      </c>
      <c r="N19" s="4" t="str">
        <f>_xlfn.XLOOKUP($C19&amp;"-"&amp;N$1,NorthSouth!$F:$F,NorthSouth!$N:$N,"",0)</f>
        <v/>
      </c>
      <c r="O19" s="4" t="str">
        <f>_xlfn.XLOOKUP($C19&amp;"-"&amp;O$1,NorthSouth!$F:$F,NorthSouth!$N:$N,"",0)</f>
        <v/>
      </c>
      <c r="P19" s="4" t="str">
        <f>_xlfn.XLOOKUP($C19&amp;"-"&amp;P$1,NorthSouth!$F:$F,NorthSouth!$N:$N,"",0)</f>
        <v/>
      </c>
    </row>
    <row r="20" spans="1:16" x14ac:dyDescent="0.55000000000000004">
      <c r="A20">
        <f t="shared" si="10"/>
        <v>19</v>
      </c>
      <c r="B20" t="s">
        <v>40</v>
      </c>
      <c r="C20" t="str">
        <f t="shared" si="9"/>
        <v>UTC-6</v>
      </c>
      <c r="D20" s="4" t="str">
        <f>_xlfn.XLOOKUP($C20&amp;"-"&amp;D$1,NorthSouth!$F:$F,NorthSouth!$N:$N,"",0)</f>
        <v>Mexico City-N</v>
      </c>
      <c r="E20" s="4" t="str">
        <f>_xlfn.XLOOKUP($C20&amp;"-"&amp;E$1,NorthSouth!$F:$F,NorthSouth!$N:$N,"",0)</f>
        <v>Chicago-N</v>
      </c>
      <c r="F20" s="4" t="str">
        <f>_xlfn.XLOOKUP($C20&amp;"-"&amp;F$1,NorthSouth!$F:$F,NorthSouth!$N:$N,"",0)</f>
        <v>Houston-N</v>
      </c>
      <c r="G20" s="4" t="str">
        <f>_xlfn.XLOOKUP($C20&amp;"-"&amp;G$1,NorthSouth!$F:$F,NorthSouth!$N:$N,"",0)</f>
        <v>Dallas-N</v>
      </c>
      <c r="H20" s="4" t="str">
        <f>_xlfn.XLOOKUP($C20&amp;"-"&amp;H$1,NorthSouth!$F:$F,NorthSouth!$N:$N,"",0)</f>
        <v>Guatemala-N</v>
      </c>
      <c r="I20" s="4" t="str">
        <f>_xlfn.XLOOKUP($C20&amp;"-"&amp;I$1,NorthSouth!$F:$F,NorthSouth!$N:$N,"",0)</f>
        <v>San Salvador-N</v>
      </c>
      <c r="J20" s="4" t="str">
        <f>_xlfn.XLOOKUP($C20&amp;"-"&amp;J$1,NorthSouth!$F:$F,NorthSouth!$N:$N,"",0)</f>
        <v/>
      </c>
      <c r="K20" s="4" t="str">
        <f>_xlfn.XLOOKUP($C20&amp;"-"&amp;K$1,NorthSouth!$F:$F,NorthSouth!$N:$N,"",0)</f>
        <v/>
      </c>
      <c r="L20" s="4" t="str">
        <f>_xlfn.XLOOKUP($C20&amp;"-"&amp;L$1,NorthSouth!$F:$F,NorthSouth!$N:$N,"",0)</f>
        <v/>
      </c>
      <c r="M20" s="4" t="str">
        <f>_xlfn.XLOOKUP($C20&amp;"-"&amp;M$1,NorthSouth!$F:$F,NorthSouth!$N:$N,"",0)</f>
        <v/>
      </c>
      <c r="N20" s="4" t="str">
        <f>_xlfn.XLOOKUP($C20&amp;"-"&amp;N$1,NorthSouth!$F:$F,NorthSouth!$N:$N,"",0)</f>
        <v/>
      </c>
      <c r="O20" s="4" t="str">
        <f>_xlfn.XLOOKUP($C20&amp;"-"&amp;O$1,NorthSouth!$F:$F,NorthSouth!$N:$N,"",0)</f>
        <v/>
      </c>
      <c r="P20" s="4" t="str">
        <f>_xlfn.XLOOKUP($C20&amp;"-"&amp;P$1,NorthSouth!$F:$F,NorthSouth!$N:$N,"",0)</f>
        <v/>
      </c>
    </row>
    <row r="21" spans="1:16" x14ac:dyDescent="0.55000000000000004">
      <c r="A21">
        <f t="shared" si="10"/>
        <v>20</v>
      </c>
      <c r="B21" t="s">
        <v>41</v>
      </c>
      <c r="C21" t="str">
        <f t="shared" si="9"/>
        <v>UTC-5</v>
      </c>
      <c r="D21" s="4" t="str">
        <f>_xlfn.XLOOKUP($C21&amp;"-"&amp;D$1,NorthSouth!$F:$F,NorthSouth!$N:$N,"",0)</f>
        <v>Lima-S</v>
      </c>
      <c r="E21" s="4" t="str">
        <f>_xlfn.XLOOKUP($C21&amp;"-"&amp;E$1,NorthSouth!$F:$F,NorthSouth!$N:$N,"",0)</f>
        <v>New York City-N</v>
      </c>
      <c r="F21" s="4" t="str">
        <f>_xlfn.XLOOKUP($C21&amp;"-"&amp;F$1,NorthSouth!$F:$F,NorthSouth!$N:$N,"",0)</f>
        <v>Bogotá-N</v>
      </c>
      <c r="G21" s="4" t="str">
        <f>_xlfn.XLOOKUP($C21&amp;"-"&amp;G$1,NorthSouth!$F:$F,NorthSouth!$N:$N,"",0)</f>
        <v>Toronto-N</v>
      </c>
      <c r="H21" s="4" t="str">
        <f>_xlfn.XLOOKUP($C21&amp;"-"&amp;H$1,NorthSouth!$F:$F,NorthSouth!$N:$N,"",0)</f>
        <v>Havana-N</v>
      </c>
      <c r="I21" s="4" t="str">
        <f>_xlfn.XLOOKUP($C21&amp;"-"&amp;I$1,NorthSouth!$F:$F,NorthSouth!$N:$N,"",0)</f>
        <v>Montreal-N</v>
      </c>
      <c r="J21" s="4" t="str">
        <f>_xlfn.XLOOKUP($C21&amp;"-"&amp;J$1,NorthSouth!$F:$F,NorthSouth!$N:$N,"",0)</f>
        <v/>
      </c>
      <c r="K21" s="4" t="str">
        <f>_xlfn.XLOOKUP($C21&amp;"-"&amp;K$1,NorthSouth!$F:$F,NorthSouth!$N:$N,"",0)</f>
        <v/>
      </c>
      <c r="L21" s="4" t="str">
        <f>_xlfn.XLOOKUP($C21&amp;"-"&amp;L$1,NorthSouth!$F:$F,NorthSouth!$N:$N,"",0)</f>
        <v/>
      </c>
      <c r="M21" s="4" t="str">
        <f>_xlfn.XLOOKUP($C21&amp;"-"&amp;M$1,NorthSouth!$F:$F,NorthSouth!$N:$N,"",0)</f>
        <v/>
      </c>
      <c r="N21" s="4" t="str">
        <f>_xlfn.XLOOKUP($C21&amp;"-"&amp;N$1,NorthSouth!$F:$F,NorthSouth!$N:$N,"",0)</f>
        <v/>
      </c>
      <c r="O21" s="4" t="str">
        <f>_xlfn.XLOOKUP($C21&amp;"-"&amp;O$1,NorthSouth!$F:$F,NorthSouth!$N:$N,"",0)</f>
        <v/>
      </c>
      <c r="P21" s="4" t="str">
        <f>_xlfn.XLOOKUP($C21&amp;"-"&amp;P$1,NorthSouth!$F:$F,NorthSouth!$N:$N,"",0)</f>
        <v/>
      </c>
    </row>
    <row r="22" spans="1:16" x14ac:dyDescent="0.55000000000000004">
      <c r="A22">
        <f t="shared" si="10"/>
        <v>21</v>
      </c>
      <c r="B22" t="s">
        <v>42</v>
      </c>
      <c r="C22" t="str">
        <f t="shared" si="9"/>
        <v>UTC-4</v>
      </c>
      <c r="D22" s="4" t="str">
        <f>_xlfn.XLOOKUP($C22&amp;"-"&amp;D$1,NorthSouth!$F:$F,NorthSouth!$N:$N,"",0)</f>
        <v>Santiago-S</v>
      </c>
      <c r="E22" s="4" t="str">
        <f>_xlfn.XLOOKUP($C22&amp;"-"&amp;E$1,NorthSouth!$F:$F,NorthSouth!$N:$N,"",0)</f>
        <v>Caracas-N</v>
      </c>
      <c r="F22" s="4" t="str">
        <f>_xlfn.XLOOKUP($C22&amp;"-"&amp;F$1,NorthSouth!$F:$F,NorthSouth!$N:$N,"",0)</f>
        <v>Manaus-S</v>
      </c>
      <c r="G22" s="4" t="str">
        <f>_xlfn.XLOOKUP($C22&amp;"-"&amp;G$1,NorthSouth!$F:$F,NorthSouth!$N:$N,"",0)</f>
        <v>Santa Cruz-S</v>
      </c>
      <c r="H22" s="4" t="str">
        <f>_xlfn.XLOOKUP($C22&amp;"-"&amp;H$1,NorthSouth!$F:$F,NorthSouth!$N:$N,"",0)</f>
        <v>Santo Domingo-N</v>
      </c>
      <c r="I22" s="4" t="str">
        <f>_xlfn.XLOOKUP($C22&amp;"-"&amp;I$1,NorthSouth!$F:$F,NorthSouth!$N:$N,"",0)</f>
        <v>La Paz-S</v>
      </c>
      <c r="J22" s="4" t="str">
        <f>_xlfn.XLOOKUP($C22&amp;"-"&amp;J$1,NorthSouth!$F:$F,NorthSouth!$N:$N,"",0)</f>
        <v/>
      </c>
      <c r="K22" s="4" t="str">
        <f>_xlfn.XLOOKUP($C22&amp;"-"&amp;K$1,NorthSouth!$F:$F,NorthSouth!$N:$N,"",0)</f>
        <v/>
      </c>
      <c r="L22" s="4" t="str">
        <f>_xlfn.XLOOKUP($C22&amp;"-"&amp;L$1,NorthSouth!$F:$F,NorthSouth!$N:$N,"",0)</f>
        <v/>
      </c>
      <c r="M22" s="4" t="str">
        <f>_xlfn.XLOOKUP($C22&amp;"-"&amp;M$1,NorthSouth!$F:$F,NorthSouth!$N:$N,"",0)</f>
        <v/>
      </c>
      <c r="N22" s="4" t="str">
        <f>_xlfn.XLOOKUP($C22&amp;"-"&amp;N$1,NorthSouth!$F:$F,NorthSouth!$N:$N,"",0)</f>
        <v/>
      </c>
      <c r="O22" s="4" t="str">
        <f>_xlfn.XLOOKUP($C22&amp;"-"&amp;O$1,NorthSouth!$F:$F,NorthSouth!$N:$N,"",0)</f>
        <v/>
      </c>
      <c r="P22" s="4" t="str">
        <f>_xlfn.XLOOKUP($C22&amp;"-"&amp;P$1,NorthSouth!$F:$F,NorthSouth!$N:$N,"",0)</f>
        <v/>
      </c>
    </row>
    <row r="23" spans="1:16" x14ac:dyDescent="0.55000000000000004">
      <c r="A23">
        <f t="shared" si="10"/>
        <v>22</v>
      </c>
      <c r="B23" t="s">
        <v>43</v>
      </c>
      <c r="C23" t="str">
        <f t="shared" si="9"/>
        <v>UTC-3</v>
      </c>
      <c r="D23" s="4" t="str">
        <f>_xlfn.XLOOKUP($C23&amp;"-"&amp;D$1,NorthSouth!$F:$F,NorthSouth!$N:$N,"",0)</f>
        <v>São Paulo-S</v>
      </c>
      <c r="E23" s="4" t="str">
        <f>_xlfn.XLOOKUP($C23&amp;"-"&amp;E$1,NorthSouth!$F:$F,NorthSouth!$N:$N,"",0)</f>
        <v>Rio-S</v>
      </c>
      <c r="F23" s="4" t="str">
        <f>_xlfn.XLOOKUP($C23&amp;"-"&amp;F$1,NorthSouth!$F:$F,NorthSouth!$N:$N,"",0)</f>
        <v>Buenos Aires-S</v>
      </c>
      <c r="G23" s="4" t="str">
        <f>_xlfn.XLOOKUP($C23&amp;"-"&amp;G$1,NorthSouth!$F:$F,NorthSouth!$N:$N,"",0)</f>
        <v>Salvador-S</v>
      </c>
      <c r="H23" s="4" t="str">
        <f>_xlfn.XLOOKUP($C23&amp;"-"&amp;H$1,NorthSouth!$F:$F,NorthSouth!$N:$N,"",0)</f>
        <v>Montevideo-S</v>
      </c>
      <c r="I23" s="4" t="str">
        <f>_xlfn.XLOOKUP($C23&amp;"-"&amp;I$1,NorthSouth!$F:$F,NorthSouth!$N:$N,"",0)</f>
        <v/>
      </c>
      <c r="J23" s="4" t="str">
        <f>_xlfn.XLOOKUP($C23&amp;"-"&amp;J$1,NorthSouth!$F:$F,NorthSouth!$N:$N,"",0)</f>
        <v/>
      </c>
      <c r="K23" s="4" t="str">
        <f>_xlfn.XLOOKUP($C23&amp;"-"&amp;K$1,NorthSouth!$F:$F,NorthSouth!$N:$N,"",0)</f>
        <v/>
      </c>
      <c r="L23" s="4" t="str">
        <f>_xlfn.XLOOKUP($C23&amp;"-"&amp;L$1,NorthSouth!$F:$F,NorthSouth!$N:$N,"",0)</f>
        <v/>
      </c>
      <c r="M23" s="4" t="str">
        <f>_xlfn.XLOOKUP($C23&amp;"-"&amp;M$1,NorthSouth!$F:$F,NorthSouth!$N:$N,"",0)</f>
        <v/>
      </c>
      <c r="N23" s="4" t="str">
        <f>_xlfn.XLOOKUP($C23&amp;"-"&amp;N$1,NorthSouth!$F:$F,NorthSouth!$N:$N,"",0)</f>
        <v/>
      </c>
      <c r="O23" s="4" t="str">
        <f>_xlfn.XLOOKUP($C23&amp;"-"&amp;O$1,NorthSouth!$F:$F,NorthSouth!$N:$N,"",0)</f>
        <v/>
      </c>
      <c r="P23" s="4" t="str">
        <f>_xlfn.XLOOKUP($C23&amp;"-"&amp;P$1,NorthSouth!$F:$F,NorthSouth!$N:$N,"",0)</f>
        <v/>
      </c>
    </row>
    <row r="24" spans="1:16" x14ac:dyDescent="0.55000000000000004">
      <c r="A24">
        <f t="shared" si="10"/>
        <v>23</v>
      </c>
      <c r="B24" t="s">
        <v>44</v>
      </c>
      <c r="C24" t="str">
        <f t="shared" si="9"/>
        <v>UTC-2</v>
      </c>
      <c r="D24" s="4" t="str">
        <f>_xlfn.XLOOKUP($C24&amp;"-"&amp;D$1,NorthSouth!$F:$F,NorthSouth!$N:$N,"",0)</f>
        <v>Noronha-S</v>
      </c>
      <c r="E24" s="4" t="str">
        <f>_xlfn.XLOOKUP($C24&amp;"-"&amp;E$1,NorthSouth!$F:$F,NorthSouth!$N:$N,"",0)</f>
        <v/>
      </c>
      <c r="F24" s="4" t="str">
        <f>_xlfn.XLOOKUP($C24&amp;"-"&amp;F$1,NorthSouth!$F:$F,NorthSouth!$N:$N,"",0)</f>
        <v/>
      </c>
      <c r="G24" s="4" t="str">
        <f>_xlfn.XLOOKUP($C24&amp;"-"&amp;G$1,NorthSouth!$F:$F,NorthSouth!$N:$N,"",0)</f>
        <v/>
      </c>
      <c r="H24" s="4" t="str">
        <f>_xlfn.XLOOKUP($C24&amp;"-"&amp;H$1,NorthSouth!$F:$F,NorthSouth!$N:$N,"",0)</f>
        <v/>
      </c>
      <c r="I24" s="4" t="str">
        <f>_xlfn.XLOOKUP($C24&amp;"-"&amp;I$1,NorthSouth!$F:$F,NorthSouth!$N:$N,"",0)</f>
        <v/>
      </c>
      <c r="J24" s="4" t="str">
        <f>_xlfn.XLOOKUP($C24&amp;"-"&amp;J$1,NorthSouth!$F:$F,NorthSouth!$N:$N,"",0)</f>
        <v/>
      </c>
      <c r="K24" s="4" t="str">
        <f>_xlfn.XLOOKUP($C24&amp;"-"&amp;K$1,NorthSouth!$F:$F,NorthSouth!$N:$N,"",0)</f>
        <v/>
      </c>
      <c r="L24" s="4" t="str">
        <f>_xlfn.XLOOKUP($C24&amp;"-"&amp;L$1,NorthSouth!$F:$F,NorthSouth!$N:$N,"",0)</f>
        <v/>
      </c>
      <c r="M24" s="4" t="str">
        <f>_xlfn.XLOOKUP($C24&amp;"-"&amp;M$1,NorthSouth!$F:$F,NorthSouth!$N:$N,"",0)</f>
        <v/>
      </c>
      <c r="N24" s="4" t="str">
        <f>_xlfn.XLOOKUP($C24&amp;"-"&amp;N$1,NorthSouth!$F:$F,NorthSouth!$N:$N,"",0)</f>
        <v/>
      </c>
      <c r="O24" s="4" t="str">
        <f>_xlfn.XLOOKUP($C24&amp;"-"&amp;O$1,NorthSouth!$F:$F,NorthSouth!$N:$N,"",0)</f>
        <v/>
      </c>
      <c r="P24" s="4" t="str">
        <f>_xlfn.XLOOKUP($C24&amp;"-"&amp;P$1,NorthSouth!$F:$F,NorthSouth!$N:$N,"",0)</f>
        <v/>
      </c>
    </row>
    <row r="25" spans="1:16" x14ac:dyDescent="0.55000000000000004">
      <c r="A25">
        <f t="shared" si="10"/>
        <v>24</v>
      </c>
      <c r="B25" t="s">
        <v>45</v>
      </c>
      <c r="C25" t="str">
        <f t="shared" si="9"/>
        <v>UTC-1</v>
      </c>
      <c r="D25" s="4" t="str">
        <f>_xlfn.XLOOKUP($C25&amp;"-"&amp;D$1,NorthSouth!$F:$F,NorthSouth!$N:$N,"",0)</f>
        <v>Praia-N</v>
      </c>
      <c r="E25" s="4" t="str">
        <f>_xlfn.XLOOKUP($C25&amp;"-"&amp;E$1,NorthSouth!$F:$F,NorthSouth!$N:$N,"",0)</f>
        <v>Ponta Delgada-N</v>
      </c>
      <c r="F25" s="4" t="str">
        <f>_xlfn.XLOOKUP($C25&amp;"-"&amp;F$1,NorthSouth!$F:$F,NorthSouth!$N:$N,"",0)</f>
        <v/>
      </c>
      <c r="G25" s="4" t="str">
        <f>_xlfn.XLOOKUP($C25&amp;"-"&amp;G$1,NorthSouth!$F:$F,NorthSouth!$N:$N,"",0)</f>
        <v/>
      </c>
      <c r="H25" s="4" t="str">
        <f>_xlfn.XLOOKUP($C25&amp;"-"&amp;H$1,NorthSouth!$F:$F,NorthSouth!$N:$N,"",0)</f>
        <v/>
      </c>
      <c r="I25" s="4" t="str">
        <f>_xlfn.XLOOKUP($C25&amp;"-"&amp;I$1,NorthSouth!$F:$F,NorthSouth!$N:$N,"",0)</f>
        <v/>
      </c>
      <c r="J25" s="4" t="str">
        <f>_xlfn.XLOOKUP($C25&amp;"-"&amp;J$1,NorthSouth!$F:$F,NorthSouth!$N:$N,"",0)</f>
        <v/>
      </c>
      <c r="K25" s="4" t="str">
        <f>_xlfn.XLOOKUP($C25&amp;"-"&amp;K$1,NorthSouth!$F:$F,NorthSouth!$N:$N,"",0)</f>
        <v/>
      </c>
      <c r="L25" s="4" t="str">
        <f>_xlfn.XLOOKUP($C25&amp;"-"&amp;L$1,NorthSouth!$F:$F,NorthSouth!$N:$N,"",0)</f>
        <v/>
      </c>
      <c r="M25" s="4" t="str">
        <f>_xlfn.XLOOKUP($C25&amp;"-"&amp;M$1,NorthSouth!$F:$F,NorthSouth!$N:$N,"",0)</f>
        <v/>
      </c>
      <c r="N25" s="4" t="str">
        <f>_xlfn.XLOOKUP($C25&amp;"-"&amp;N$1,NorthSouth!$F:$F,NorthSouth!$N:$N,"",0)</f>
        <v/>
      </c>
      <c r="O25" s="4" t="str">
        <f>_xlfn.XLOOKUP($C25&amp;"-"&amp;O$1,NorthSouth!$F:$F,NorthSouth!$N:$N,"",0)</f>
        <v/>
      </c>
      <c r="P25" s="4" t="str">
        <f>_xlfn.XLOOKUP($C25&amp;"-"&amp;P$1,NorthSouth!$F:$F,NorthSouth!$N:$N,"",0)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2B98-B4D8-47E3-844D-AC8BCC55435B}">
  <dimension ref="A1:O138"/>
  <sheetViews>
    <sheetView showGridLines="0" workbookViewId="0">
      <pane ySplit="1" topLeftCell="A2" activePane="bottomLeft" state="frozen"/>
      <selection pane="bottomLeft" activeCell="G116" sqref="G116"/>
    </sheetView>
  </sheetViews>
  <sheetFormatPr defaultRowHeight="14.4" x14ac:dyDescent="0.55000000000000004"/>
  <cols>
    <col min="7" max="7" width="31.89453125" customWidth="1"/>
    <col min="8" max="8" width="32.578125" bestFit="1" customWidth="1"/>
    <col min="14" max="14" width="16.5234375" bestFit="1" customWidth="1"/>
  </cols>
  <sheetData>
    <row r="1" spans="1:15" x14ac:dyDescent="0.55000000000000004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155</v>
      </c>
      <c r="M1" t="s">
        <v>169</v>
      </c>
      <c r="N1" t="s">
        <v>170</v>
      </c>
      <c r="O1" t="s">
        <v>171</v>
      </c>
    </row>
    <row r="2" spans="1:15" x14ac:dyDescent="0.55000000000000004">
      <c r="A2" t="b">
        <f>NOT(ISNUMBER(SEARCH("time",G2)))</f>
        <v>0</v>
      </c>
      <c r="B2">
        <f t="shared" ref="B2" si="0">IF(A2=FALSE,0,IF(AND(A2,NOT(A1)),1,1+B1))</f>
        <v>0</v>
      </c>
      <c r="C2" s="3" t="str">
        <f>IF(ISNUMBER(SEARCH("time",G2)),G2,C1)</f>
        <v>12:00 AM (UTC+0) — Greenwich Mean Time (GMT)</v>
      </c>
      <c r="D2" s="3" t="str">
        <f>_xlfn.TEXTAFTER(_xlfn.TEXTBEFORE(C2,")"),"(")</f>
        <v>UTC+0</v>
      </c>
      <c r="E2" t="str">
        <f>IFERROR(_xlfn.TEXTAFTER(D2," / "),D2)</f>
        <v>UTC+0</v>
      </c>
      <c r="F2" t="str">
        <f>E2&amp;"-"&amp;B2</f>
        <v>UTC+0-0</v>
      </c>
      <c r="G2" s="1" t="s">
        <v>0</v>
      </c>
      <c r="H2" t="str">
        <f>_xlfn.TEXTBEFORE($G2,"—")</f>
        <v xml:space="preserve">12:00 AM (UTC+0) </v>
      </c>
      <c r="I2" t="e">
        <f>_xlfn.TEXTAFTER($G2,"~")</f>
        <v>#N/A</v>
      </c>
      <c r="L2" t="s">
        <v>155</v>
      </c>
    </row>
    <row r="3" spans="1:15" x14ac:dyDescent="0.55000000000000004">
      <c r="A3" t="b">
        <f t="shared" ref="A3:A66" si="1">NOT(ISNUMBER(SEARCH("time",G3)))</f>
        <v>1</v>
      </c>
      <c r="B3">
        <f t="shared" ref="B3:B66" si="2">IF(A3=FALSE,0,IF(AND(A3,NOT(A2)),1,1+B2))</f>
        <v>1</v>
      </c>
      <c r="C3" s="3" t="str">
        <f t="shared" ref="C3:C66" si="3">IF(ISNUMBER(SEARCH("time",G3)),G3,C2)</f>
        <v>12:00 AM (UTC+0) — Greenwich Mean Time (GMT)</v>
      </c>
      <c r="D3" s="3" t="str">
        <f t="shared" ref="D3:D66" si="4">_xlfn.TEXTAFTER(_xlfn.TEXTBEFORE(C3,")"),"(")</f>
        <v>UTC+0</v>
      </c>
      <c r="E3" t="str">
        <f t="shared" ref="E3:E66" si="5">IFERROR(_xlfn.TEXTAFTER(D3," / "),D3)</f>
        <v>UTC+0</v>
      </c>
      <c r="F3" t="str">
        <f t="shared" ref="F3:F66" si="6">E3&amp;"-"&amp;B3</f>
        <v>UTC+0-1</v>
      </c>
      <c r="G3" s="2" t="s">
        <v>47</v>
      </c>
      <c r="H3" t="str">
        <f t="shared" ref="H3:H65" si="7">_xlfn.TEXTBEFORE($G3,"—")</f>
        <v xml:space="preserve">London, United Kingdom [N] </v>
      </c>
      <c r="I3" t="str">
        <f t="shared" ref="I3:I65" si="8">_xlfn.TEXTAFTER($G3,"~")</f>
        <v>9.2 million</v>
      </c>
      <c r="J3" t="str">
        <f>_xlfn.TEXTBEFORE(_xlfn.TEXTAFTER(G3,"["),"]")</f>
        <v>N</v>
      </c>
      <c r="K3" t="str">
        <f>_xlfn.TEXTBEFORE(G3,",")</f>
        <v>London</v>
      </c>
      <c r="M3" t="str">
        <f>IF(L3&lt;&gt;"",L3,J3)</f>
        <v>N</v>
      </c>
      <c r="N3" t="str">
        <f>K3&amp;"-"&amp;M3</f>
        <v>London-N</v>
      </c>
      <c r="O3">
        <f>LEN(N3)</f>
        <v>8</v>
      </c>
    </row>
    <row r="4" spans="1:15" x14ac:dyDescent="0.55000000000000004">
      <c r="A4" t="b">
        <f t="shared" si="1"/>
        <v>1</v>
      </c>
      <c r="B4">
        <f t="shared" si="2"/>
        <v>2</v>
      </c>
      <c r="C4" s="3" t="str">
        <f t="shared" si="3"/>
        <v>12:00 AM (UTC+0) — Greenwich Mean Time (GMT)</v>
      </c>
      <c r="D4" s="3" t="str">
        <f t="shared" si="4"/>
        <v>UTC+0</v>
      </c>
      <c r="E4" t="str">
        <f t="shared" si="5"/>
        <v>UTC+0</v>
      </c>
      <c r="F4" t="str">
        <f t="shared" si="6"/>
        <v>UTC+0-2</v>
      </c>
      <c r="G4" s="2" t="s">
        <v>48</v>
      </c>
      <c r="H4" t="str">
        <f t="shared" si="7"/>
        <v xml:space="preserve">Casablanca, Morocco [N] </v>
      </c>
      <c r="I4" t="str">
        <f t="shared" si="8"/>
        <v>3.8 million</v>
      </c>
      <c r="J4" t="str">
        <f t="shared" ref="J4:J66" si="9">_xlfn.TEXTBEFORE(_xlfn.TEXTAFTER(G4,"["),"]")</f>
        <v>N</v>
      </c>
      <c r="K4" t="str">
        <f t="shared" ref="K4:K66" si="10">_xlfn.TEXTBEFORE(G4,",")</f>
        <v>Casablanca</v>
      </c>
      <c r="M4" t="str">
        <f t="shared" ref="M4:M67" si="11">IF(L4&lt;&gt;"",L4,J4)</f>
        <v>N</v>
      </c>
      <c r="N4" t="str">
        <f t="shared" ref="N4:N67" si="12">K4&amp;"-"&amp;M4</f>
        <v>Casablanca-N</v>
      </c>
      <c r="O4">
        <f t="shared" ref="O4:O67" si="13">LEN(N4)</f>
        <v>12</v>
      </c>
    </row>
    <row r="5" spans="1:15" x14ac:dyDescent="0.55000000000000004">
      <c r="A5" t="b">
        <f t="shared" si="1"/>
        <v>1</v>
      </c>
      <c r="B5">
        <f t="shared" si="2"/>
        <v>3</v>
      </c>
      <c r="C5" s="3" t="str">
        <f t="shared" si="3"/>
        <v>12:00 AM (UTC+0) — Greenwich Mean Time (GMT)</v>
      </c>
      <c r="D5" s="3" t="str">
        <f t="shared" si="4"/>
        <v>UTC+0</v>
      </c>
      <c r="E5" t="str">
        <f t="shared" si="5"/>
        <v>UTC+0</v>
      </c>
      <c r="F5" t="str">
        <f t="shared" si="6"/>
        <v>UTC+0-3</v>
      </c>
      <c r="G5" s="2" t="s">
        <v>49</v>
      </c>
      <c r="H5" t="str">
        <f t="shared" si="7"/>
        <v xml:space="preserve">Abidjan, Ivory Coast [N] </v>
      </c>
      <c r="I5" t="str">
        <f t="shared" si="8"/>
        <v>3.7 million</v>
      </c>
      <c r="J5" t="str">
        <f t="shared" si="9"/>
        <v>N</v>
      </c>
      <c r="K5" t="str">
        <f t="shared" si="10"/>
        <v>Abidjan</v>
      </c>
      <c r="M5" t="str">
        <f t="shared" si="11"/>
        <v>N</v>
      </c>
      <c r="N5" t="str">
        <f t="shared" si="12"/>
        <v>Abidjan-N</v>
      </c>
      <c r="O5">
        <f t="shared" si="13"/>
        <v>9</v>
      </c>
    </row>
    <row r="6" spans="1:15" x14ac:dyDescent="0.55000000000000004">
      <c r="A6" t="b">
        <f t="shared" si="1"/>
        <v>1</v>
      </c>
      <c r="B6">
        <f t="shared" si="2"/>
        <v>4</v>
      </c>
      <c r="C6" s="3" t="str">
        <f t="shared" si="3"/>
        <v>12:00 AM (UTC+0) — Greenwich Mean Time (GMT)</v>
      </c>
      <c r="D6" s="3" t="str">
        <f t="shared" si="4"/>
        <v>UTC+0</v>
      </c>
      <c r="E6" t="str">
        <f t="shared" si="5"/>
        <v>UTC+0</v>
      </c>
      <c r="F6" t="str">
        <f t="shared" si="6"/>
        <v>UTC+0-4</v>
      </c>
      <c r="G6" s="2" t="s">
        <v>50</v>
      </c>
      <c r="H6" t="str">
        <f t="shared" si="7"/>
        <v xml:space="preserve">Accra, Ghana [N] </v>
      </c>
      <c r="I6" t="str">
        <f t="shared" si="8"/>
        <v>2.6 million</v>
      </c>
      <c r="J6" t="str">
        <f t="shared" si="9"/>
        <v>N</v>
      </c>
      <c r="K6" t="str">
        <f t="shared" si="10"/>
        <v>Accra</v>
      </c>
      <c r="L6" t="s">
        <v>156</v>
      </c>
      <c r="M6" t="str">
        <f t="shared" si="11"/>
        <v>S</v>
      </c>
      <c r="N6" t="str">
        <f t="shared" si="12"/>
        <v>Accra-S</v>
      </c>
      <c r="O6">
        <f t="shared" si="13"/>
        <v>7</v>
      </c>
    </row>
    <row r="7" spans="1:15" x14ac:dyDescent="0.55000000000000004">
      <c r="A7" t="b">
        <f t="shared" si="1"/>
        <v>1</v>
      </c>
      <c r="B7">
        <f t="shared" si="2"/>
        <v>5</v>
      </c>
      <c r="C7" s="3" t="str">
        <f t="shared" si="3"/>
        <v>12:00 AM (UTC+0) — Greenwich Mean Time (GMT)</v>
      </c>
      <c r="D7" s="3" t="str">
        <f t="shared" si="4"/>
        <v>UTC+0</v>
      </c>
      <c r="E7" t="str">
        <f t="shared" si="5"/>
        <v>UTC+0</v>
      </c>
      <c r="F7" t="str">
        <f t="shared" si="6"/>
        <v>UTC+0-5</v>
      </c>
      <c r="G7" s="2" t="s">
        <v>51</v>
      </c>
      <c r="H7" t="str">
        <f t="shared" si="7"/>
        <v xml:space="preserve">Dakar, Senegal [N] </v>
      </c>
      <c r="I7" t="str">
        <f t="shared" si="8"/>
        <v>1.5 million</v>
      </c>
      <c r="J7" t="str">
        <f t="shared" si="9"/>
        <v>N</v>
      </c>
      <c r="K7" t="str">
        <f t="shared" si="10"/>
        <v>Dakar</v>
      </c>
      <c r="L7" t="s">
        <v>156</v>
      </c>
      <c r="M7" t="str">
        <f t="shared" si="11"/>
        <v>S</v>
      </c>
      <c r="N7" t="str">
        <f t="shared" si="12"/>
        <v>Dakar-S</v>
      </c>
      <c r="O7">
        <f t="shared" si="13"/>
        <v>7</v>
      </c>
    </row>
    <row r="8" spans="1:15" x14ac:dyDescent="0.55000000000000004">
      <c r="A8" t="b">
        <f t="shared" si="1"/>
        <v>1</v>
      </c>
      <c r="B8">
        <f t="shared" si="2"/>
        <v>6</v>
      </c>
      <c r="C8" s="3" t="str">
        <f t="shared" si="3"/>
        <v>12:00 AM (UTC+0) — Greenwich Mean Time (GMT)</v>
      </c>
      <c r="D8" s="3" t="str">
        <f t="shared" si="4"/>
        <v>UTC+0</v>
      </c>
      <c r="E8" t="str">
        <f t="shared" si="5"/>
        <v>UTC+0</v>
      </c>
      <c r="F8" t="str">
        <f t="shared" si="6"/>
        <v>UTC+0-6</v>
      </c>
      <c r="G8" s="2" t="s">
        <v>52</v>
      </c>
      <c r="H8" t="str">
        <f t="shared" si="7"/>
        <v xml:space="preserve">Dublin, Ireland [N] </v>
      </c>
      <c r="I8" t="str">
        <f t="shared" si="8"/>
        <v>590,000</v>
      </c>
      <c r="J8" t="str">
        <f t="shared" si="9"/>
        <v>N</v>
      </c>
      <c r="K8" t="str">
        <f t="shared" si="10"/>
        <v>Dublin</v>
      </c>
      <c r="M8" t="str">
        <f t="shared" si="11"/>
        <v>N</v>
      </c>
      <c r="N8" t="str">
        <f t="shared" si="12"/>
        <v>Dublin-N</v>
      </c>
      <c r="O8">
        <f t="shared" si="13"/>
        <v>8</v>
      </c>
    </row>
    <row r="9" spans="1:15" x14ac:dyDescent="0.55000000000000004">
      <c r="A9" t="b">
        <f t="shared" si="1"/>
        <v>1</v>
      </c>
      <c r="B9">
        <f t="shared" si="2"/>
        <v>7</v>
      </c>
      <c r="C9" s="3" t="str">
        <f t="shared" si="3"/>
        <v>12:00 AM (UTC+0) — Greenwich Mean Time (GMT)</v>
      </c>
      <c r="D9" s="3" t="str">
        <f t="shared" si="4"/>
        <v>UTC+0</v>
      </c>
      <c r="E9" t="str">
        <f t="shared" si="5"/>
        <v>UTC+0</v>
      </c>
      <c r="F9" t="str">
        <f t="shared" si="6"/>
        <v>UTC+0-7</v>
      </c>
      <c r="G9" s="2" t="s">
        <v>53</v>
      </c>
      <c r="H9" t="str">
        <f t="shared" si="7"/>
        <v xml:space="preserve">Lisbon, Portugal [N] </v>
      </c>
      <c r="I9" t="str">
        <f t="shared" si="8"/>
        <v>550,000</v>
      </c>
      <c r="J9" t="str">
        <f t="shared" si="9"/>
        <v>N</v>
      </c>
      <c r="K9" t="str">
        <f t="shared" si="10"/>
        <v>Lisbon</v>
      </c>
      <c r="M9" t="str">
        <f t="shared" si="11"/>
        <v>N</v>
      </c>
      <c r="N9" t="str">
        <f t="shared" si="12"/>
        <v>Lisbon-N</v>
      </c>
      <c r="O9">
        <f t="shared" si="13"/>
        <v>8</v>
      </c>
    </row>
    <row r="10" spans="1:15" x14ac:dyDescent="0.55000000000000004">
      <c r="A10" t="b">
        <f t="shared" si="1"/>
        <v>0</v>
      </c>
      <c r="B10">
        <f t="shared" si="2"/>
        <v>0</v>
      </c>
      <c r="C10" s="3" t="str">
        <f t="shared" si="3"/>
        <v>1:00 AM (UTC+1) — West Africa / Central European Time</v>
      </c>
      <c r="D10" s="3" t="str">
        <f t="shared" si="4"/>
        <v>UTC+1</v>
      </c>
      <c r="E10" t="str">
        <f t="shared" si="5"/>
        <v>UTC+1</v>
      </c>
      <c r="F10" t="str">
        <f t="shared" si="6"/>
        <v>UTC+1-0</v>
      </c>
      <c r="G10" s="1" t="s">
        <v>1</v>
      </c>
      <c r="H10" t="str">
        <f t="shared" si="7"/>
        <v xml:space="preserve">1:00 AM (UTC+1) </v>
      </c>
      <c r="I10" t="e">
        <f t="shared" si="8"/>
        <v>#N/A</v>
      </c>
      <c r="J10" t="e">
        <f t="shared" si="9"/>
        <v>#N/A</v>
      </c>
      <c r="K10" t="e">
        <f t="shared" si="10"/>
        <v>#N/A</v>
      </c>
      <c r="M10" t="e">
        <f t="shared" si="11"/>
        <v>#N/A</v>
      </c>
      <c r="N10" t="e">
        <f t="shared" si="12"/>
        <v>#N/A</v>
      </c>
      <c r="O10" t="e">
        <f t="shared" si="13"/>
        <v>#N/A</v>
      </c>
    </row>
    <row r="11" spans="1:15" x14ac:dyDescent="0.55000000000000004">
      <c r="A11" t="b">
        <f t="shared" si="1"/>
        <v>1</v>
      </c>
      <c r="B11">
        <f t="shared" si="2"/>
        <v>1</v>
      </c>
      <c r="C11" s="3" t="str">
        <f t="shared" si="3"/>
        <v>1:00 AM (UTC+1) — West Africa / Central European Time</v>
      </c>
      <c r="D11" s="3" t="str">
        <f t="shared" si="4"/>
        <v>UTC+1</v>
      </c>
      <c r="E11" t="str">
        <f t="shared" si="5"/>
        <v>UTC+1</v>
      </c>
      <c r="F11" t="str">
        <f t="shared" si="6"/>
        <v>UTC+1-1</v>
      </c>
      <c r="G11" s="2" t="s">
        <v>54</v>
      </c>
      <c r="H11" t="str">
        <f t="shared" si="7"/>
        <v xml:space="preserve">Lagos, Nigeria [N] </v>
      </c>
      <c r="I11" t="str">
        <f t="shared" si="8"/>
        <v>15.5 million</v>
      </c>
      <c r="J11" t="str">
        <f t="shared" si="9"/>
        <v>N</v>
      </c>
      <c r="K11" t="str">
        <f t="shared" si="10"/>
        <v>Lagos</v>
      </c>
      <c r="L11" t="s">
        <v>156</v>
      </c>
      <c r="M11" t="str">
        <f t="shared" si="11"/>
        <v>S</v>
      </c>
      <c r="N11" t="str">
        <f t="shared" si="12"/>
        <v>Lagos-S</v>
      </c>
      <c r="O11">
        <f t="shared" si="13"/>
        <v>7</v>
      </c>
    </row>
    <row r="12" spans="1:15" x14ac:dyDescent="0.55000000000000004">
      <c r="A12" t="b">
        <f t="shared" si="1"/>
        <v>1</v>
      </c>
      <c r="B12">
        <f t="shared" si="2"/>
        <v>2</v>
      </c>
      <c r="C12" s="3" t="str">
        <f t="shared" si="3"/>
        <v>1:00 AM (UTC+1) — West Africa / Central European Time</v>
      </c>
      <c r="D12" s="3" t="str">
        <f t="shared" si="4"/>
        <v>UTC+1</v>
      </c>
      <c r="E12" t="str">
        <f t="shared" si="5"/>
        <v>UTC+1</v>
      </c>
      <c r="F12" t="str">
        <f t="shared" si="6"/>
        <v>UTC+1-2</v>
      </c>
      <c r="G12" s="2" t="s">
        <v>55</v>
      </c>
      <c r="H12" t="str">
        <f t="shared" si="7"/>
        <v xml:space="preserve">Kinshasa, DR Congo [S] </v>
      </c>
      <c r="I12" t="str">
        <f t="shared" si="8"/>
        <v>14.5 million</v>
      </c>
      <c r="J12" t="str">
        <f t="shared" si="9"/>
        <v>S</v>
      </c>
      <c r="K12" t="str">
        <f t="shared" si="10"/>
        <v>Kinshasa</v>
      </c>
      <c r="M12" t="str">
        <f t="shared" si="11"/>
        <v>S</v>
      </c>
      <c r="N12" t="str">
        <f t="shared" si="12"/>
        <v>Kinshasa-S</v>
      </c>
      <c r="O12">
        <f t="shared" si="13"/>
        <v>10</v>
      </c>
    </row>
    <row r="13" spans="1:15" x14ac:dyDescent="0.55000000000000004">
      <c r="A13" t="b">
        <f t="shared" si="1"/>
        <v>1</v>
      </c>
      <c r="B13">
        <f t="shared" si="2"/>
        <v>3</v>
      </c>
      <c r="C13" s="3" t="str">
        <f t="shared" si="3"/>
        <v>1:00 AM (UTC+1) — West Africa / Central European Time</v>
      </c>
      <c r="D13" s="3" t="str">
        <f t="shared" si="4"/>
        <v>UTC+1</v>
      </c>
      <c r="E13" t="str">
        <f t="shared" si="5"/>
        <v>UTC+1</v>
      </c>
      <c r="F13" t="str">
        <f t="shared" si="6"/>
        <v>UTC+1-3</v>
      </c>
      <c r="G13" s="2" t="s">
        <v>56</v>
      </c>
      <c r="H13" t="str">
        <f t="shared" si="7"/>
        <v xml:space="preserve">Madrid, Spain [N] </v>
      </c>
      <c r="I13" t="str">
        <f t="shared" si="8"/>
        <v>3.3 million</v>
      </c>
      <c r="J13" t="str">
        <f t="shared" si="9"/>
        <v>N</v>
      </c>
      <c r="K13" t="str">
        <f t="shared" si="10"/>
        <v>Madrid</v>
      </c>
      <c r="M13" t="str">
        <f t="shared" si="11"/>
        <v>N</v>
      </c>
      <c r="N13" t="str">
        <f t="shared" si="12"/>
        <v>Madrid-N</v>
      </c>
      <c r="O13">
        <f t="shared" si="13"/>
        <v>8</v>
      </c>
    </row>
    <row r="14" spans="1:15" x14ac:dyDescent="0.55000000000000004">
      <c r="A14" t="b">
        <f t="shared" si="1"/>
        <v>1</v>
      </c>
      <c r="B14">
        <f t="shared" si="2"/>
        <v>4</v>
      </c>
      <c r="C14" s="3" t="str">
        <f t="shared" si="3"/>
        <v>1:00 AM (UTC+1) — West Africa / Central European Time</v>
      </c>
      <c r="D14" s="3" t="str">
        <f t="shared" si="4"/>
        <v>UTC+1</v>
      </c>
      <c r="E14" t="str">
        <f t="shared" si="5"/>
        <v>UTC+1</v>
      </c>
      <c r="F14" t="str">
        <f t="shared" si="6"/>
        <v>UTC+1-4</v>
      </c>
      <c r="G14" s="2" t="s">
        <v>57</v>
      </c>
      <c r="H14" t="str">
        <f t="shared" si="7"/>
        <v xml:space="preserve">Berlin, Germany [N] </v>
      </c>
      <c r="I14" t="str">
        <f t="shared" si="8"/>
        <v>3.6 million</v>
      </c>
      <c r="J14" t="str">
        <f t="shared" si="9"/>
        <v>N</v>
      </c>
      <c r="K14" t="str">
        <f t="shared" si="10"/>
        <v>Berlin</v>
      </c>
      <c r="M14" t="str">
        <f t="shared" si="11"/>
        <v>N</v>
      </c>
      <c r="N14" t="str">
        <f t="shared" si="12"/>
        <v>Berlin-N</v>
      </c>
      <c r="O14">
        <f t="shared" si="13"/>
        <v>8</v>
      </c>
    </row>
    <row r="15" spans="1:15" x14ac:dyDescent="0.55000000000000004">
      <c r="A15" t="b">
        <f t="shared" si="1"/>
        <v>1</v>
      </c>
      <c r="B15">
        <f t="shared" si="2"/>
        <v>5</v>
      </c>
      <c r="C15" s="3" t="str">
        <f t="shared" si="3"/>
        <v>1:00 AM (UTC+1) — West Africa / Central European Time</v>
      </c>
      <c r="D15" s="3" t="str">
        <f t="shared" si="4"/>
        <v>UTC+1</v>
      </c>
      <c r="E15" t="str">
        <f t="shared" si="5"/>
        <v>UTC+1</v>
      </c>
      <c r="F15" t="str">
        <f t="shared" si="6"/>
        <v>UTC+1-5</v>
      </c>
      <c r="G15" s="2" t="s">
        <v>58</v>
      </c>
      <c r="H15" t="str">
        <f t="shared" si="7"/>
        <v xml:space="preserve">Algiers, Algeria [N] </v>
      </c>
      <c r="I15" t="str">
        <f t="shared" si="8"/>
        <v>2.8 million</v>
      </c>
      <c r="J15" t="str">
        <f t="shared" si="9"/>
        <v>N</v>
      </c>
      <c r="K15" t="str">
        <f t="shared" si="10"/>
        <v>Algiers</v>
      </c>
      <c r="M15" t="str">
        <f t="shared" si="11"/>
        <v>N</v>
      </c>
      <c r="N15" t="str">
        <f t="shared" si="12"/>
        <v>Algiers-N</v>
      </c>
      <c r="O15">
        <f t="shared" si="13"/>
        <v>9</v>
      </c>
    </row>
    <row r="16" spans="1:15" x14ac:dyDescent="0.55000000000000004">
      <c r="A16" t="b">
        <f t="shared" si="1"/>
        <v>1</v>
      </c>
      <c r="B16">
        <f t="shared" si="2"/>
        <v>6</v>
      </c>
      <c r="C16" s="3" t="str">
        <f t="shared" si="3"/>
        <v>1:00 AM (UTC+1) — West Africa / Central European Time</v>
      </c>
      <c r="D16" s="3" t="str">
        <f t="shared" si="4"/>
        <v>UTC+1</v>
      </c>
      <c r="E16" t="str">
        <f t="shared" si="5"/>
        <v>UTC+1</v>
      </c>
      <c r="F16" t="str">
        <f t="shared" si="6"/>
        <v>UTC+1-6</v>
      </c>
      <c r="G16" s="2" t="s">
        <v>59</v>
      </c>
      <c r="H16" t="str">
        <f t="shared" si="7"/>
        <v xml:space="preserve">Paris, France [N] </v>
      </c>
      <c r="I16" t="str">
        <f t="shared" si="8"/>
        <v>2.1 million</v>
      </c>
      <c r="J16" t="str">
        <f t="shared" si="9"/>
        <v>N</v>
      </c>
      <c r="K16" t="str">
        <f t="shared" si="10"/>
        <v>Paris</v>
      </c>
      <c r="M16" t="str">
        <f t="shared" si="11"/>
        <v>N</v>
      </c>
      <c r="N16" t="str">
        <f t="shared" si="12"/>
        <v>Paris-N</v>
      </c>
      <c r="O16">
        <f t="shared" si="13"/>
        <v>7</v>
      </c>
    </row>
    <row r="17" spans="1:15" x14ac:dyDescent="0.55000000000000004">
      <c r="A17" t="b">
        <f t="shared" si="1"/>
        <v>1</v>
      </c>
      <c r="B17">
        <f t="shared" si="2"/>
        <v>7</v>
      </c>
      <c r="C17" s="3" t="str">
        <f t="shared" si="3"/>
        <v>1:00 AM (UTC+1) — West Africa / Central European Time</v>
      </c>
      <c r="D17" s="3" t="str">
        <f t="shared" si="4"/>
        <v>UTC+1</v>
      </c>
      <c r="E17" t="str">
        <f t="shared" si="5"/>
        <v>UTC+1</v>
      </c>
      <c r="F17" t="str">
        <f t="shared" si="6"/>
        <v>UTC+1-7</v>
      </c>
      <c r="G17" s="2" t="s">
        <v>60</v>
      </c>
      <c r="H17" t="str">
        <f t="shared" si="7"/>
        <v xml:space="preserve">Rome, Italy [N] </v>
      </c>
      <c r="I17" t="str">
        <f t="shared" si="8"/>
        <v>2.8 million</v>
      </c>
      <c r="J17" t="str">
        <f t="shared" si="9"/>
        <v>N</v>
      </c>
      <c r="K17" t="str">
        <f t="shared" si="10"/>
        <v>Rome</v>
      </c>
      <c r="M17" t="str">
        <f t="shared" si="11"/>
        <v>N</v>
      </c>
      <c r="N17" t="str">
        <f t="shared" si="12"/>
        <v>Rome-N</v>
      </c>
      <c r="O17">
        <f t="shared" si="13"/>
        <v>6</v>
      </c>
    </row>
    <row r="18" spans="1:15" x14ac:dyDescent="0.55000000000000004">
      <c r="A18" t="b">
        <f t="shared" si="1"/>
        <v>0</v>
      </c>
      <c r="B18">
        <f t="shared" si="2"/>
        <v>0</v>
      </c>
      <c r="C18" s="3" t="str">
        <f t="shared" si="3"/>
        <v>2:00 AM (UTC+2) — Central Africa / Eastern European Time</v>
      </c>
      <c r="D18" s="3" t="str">
        <f t="shared" si="4"/>
        <v>UTC+2</v>
      </c>
      <c r="E18" t="str">
        <f t="shared" si="5"/>
        <v>UTC+2</v>
      </c>
      <c r="F18" t="str">
        <f t="shared" si="6"/>
        <v>UTC+2-0</v>
      </c>
      <c r="G18" s="1" t="s">
        <v>2</v>
      </c>
      <c r="H18" t="str">
        <f t="shared" si="7"/>
        <v xml:space="preserve">2:00 AM (UTC+2) </v>
      </c>
      <c r="I18" t="e">
        <f t="shared" si="8"/>
        <v>#N/A</v>
      </c>
      <c r="J18" t="e">
        <f t="shared" si="9"/>
        <v>#N/A</v>
      </c>
      <c r="K18" t="e">
        <f t="shared" si="10"/>
        <v>#N/A</v>
      </c>
      <c r="M18" t="e">
        <f t="shared" si="11"/>
        <v>#N/A</v>
      </c>
      <c r="N18" t="e">
        <f t="shared" si="12"/>
        <v>#N/A</v>
      </c>
      <c r="O18" t="e">
        <f t="shared" si="13"/>
        <v>#N/A</v>
      </c>
    </row>
    <row r="19" spans="1:15" x14ac:dyDescent="0.55000000000000004">
      <c r="A19" t="b">
        <f t="shared" si="1"/>
        <v>1</v>
      </c>
      <c r="B19">
        <f t="shared" si="2"/>
        <v>1</v>
      </c>
      <c r="C19" s="3" t="str">
        <f t="shared" si="3"/>
        <v>2:00 AM (UTC+2) — Central Africa / Eastern European Time</v>
      </c>
      <c r="D19" s="3" t="str">
        <f t="shared" si="4"/>
        <v>UTC+2</v>
      </c>
      <c r="E19" t="str">
        <f t="shared" si="5"/>
        <v>UTC+2</v>
      </c>
      <c r="F19" t="str">
        <f t="shared" si="6"/>
        <v>UTC+2-1</v>
      </c>
      <c r="G19" s="2" t="s">
        <v>61</v>
      </c>
      <c r="H19" t="str">
        <f t="shared" si="7"/>
        <v xml:space="preserve">Cairo, Egypt [N] </v>
      </c>
      <c r="I19" t="str">
        <f t="shared" si="8"/>
        <v>10.1 million</v>
      </c>
      <c r="J19" t="str">
        <f t="shared" si="9"/>
        <v>N</v>
      </c>
      <c r="K19" t="str">
        <f t="shared" si="10"/>
        <v>Cairo</v>
      </c>
      <c r="M19" t="str">
        <f t="shared" si="11"/>
        <v>N</v>
      </c>
      <c r="N19" t="str">
        <f t="shared" si="12"/>
        <v>Cairo-N</v>
      </c>
      <c r="O19">
        <f t="shared" si="13"/>
        <v>7</v>
      </c>
    </row>
    <row r="20" spans="1:15" x14ac:dyDescent="0.55000000000000004">
      <c r="A20" t="b">
        <f t="shared" si="1"/>
        <v>1</v>
      </c>
      <c r="B20">
        <f t="shared" si="2"/>
        <v>2</v>
      </c>
      <c r="C20" s="3" t="str">
        <f t="shared" si="3"/>
        <v>2:00 AM (UTC+2) — Central Africa / Eastern European Time</v>
      </c>
      <c r="D20" s="3" t="str">
        <f t="shared" si="4"/>
        <v>UTC+2</v>
      </c>
      <c r="E20" t="str">
        <f t="shared" si="5"/>
        <v>UTC+2</v>
      </c>
      <c r="F20" t="str">
        <f t="shared" si="6"/>
        <v>UTC+2-2</v>
      </c>
      <c r="G20" s="2" t="s">
        <v>62</v>
      </c>
      <c r="H20" t="str">
        <f t="shared" si="7"/>
        <v xml:space="preserve">Johannesburg, South Africa [S] </v>
      </c>
      <c r="I20" t="str">
        <f t="shared" si="8"/>
        <v>4.8 million</v>
      </c>
      <c r="J20" t="str">
        <f t="shared" si="9"/>
        <v>S</v>
      </c>
      <c r="K20" t="str">
        <f t="shared" si="10"/>
        <v>Johannesburg</v>
      </c>
      <c r="M20" t="str">
        <f t="shared" si="11"/>
        <v>S</v>
      </c>
      <c r="N20" t="str">
        <f t="shared" si="12"/>
        <v>Johannesburg-S</v>
      </c>
      <c r="O20">
        <f t="shared" si="13"/>
        <v>14</v>
      </c>
    </row>
    <row r="21" spans="1:15" x14ac:dyDescent="0.55000000000000004">
      <c r="A21" t="b">
        <f t="shared" si="1"/>
        <v>1</v>
      </c>
      <c r="B21">
        <f t="shared" si="2"/>
        <v>3</v>
      </c>
      <c r="C21" s="3" t="str">
        <f t="shared" si="3"/>
        <v>2:00 AM (UTC+2) — Central Africa / Eastern European Time</v>
      </c>
      <c r="D21" s="3" t="str">
        <f t="shared" si="4"/>
        <v>UTC+2</v>
      </c>
      <c r="E21" t="str">
        <f t="shared" si="5"/>
        <v>UTC+2</v>
      </c>
      <c r="F21" t="str">
        <f t="shared" si="6"/>
        <v>UTC+2-3</v>
      </c>
      <c r="G21" s="2" t="s">
        <v>63</v>
      </c>
      <c r="H21" t="str">
        <f t="shared" si="7"/>
        <v xml:space="preserve">Kyiv, Ukraine [N] </v>
      </c>
      <c r="I21" t="str">
        <f t="shared" si="8"/>
        <v>2.9 million</v>
      </c>
      <c r="J21" t="str">
        <f t="shared" si="9"/>
        <v>N</v>
      </c>
      <c r="K21" t="str">
        <f t="shared" si="10"/>
        <v>Kyiv</v>
      </c>
      <c r="M21" t="str">
        <f t="shared" si="11"/>
        <v>N</v>
      </c>
      <c r="N21" t="str">
        <f t="shared" si="12"/>
        <v>Kyiv-N</v>
      </c>
      <c r="O21">
        <f t="shared" si="13"/>
        <v>6</v>
      </c>
    </row>
    <row r="22" spans="1:15" x14ac:dyDescent="0.55000000000000004">
      <c r="A22" t="b">
        <f t="shared" si="1"/>
        <v>1</v>
      </c>
      <c r="B22">
        <f t="shared" si="2"/>
        <v>4</v>
      </c>
      <c r="C22" s="3" t="str">
        <f t="shared" si="3"/>
        <v>2:00 AM (UTC+2) — Central Africa / Eastern European Time</v>
      </c>
      <c r="D22" s="3" t="str">
        <f t="shared" si="4"/>
        <v>UTC+2</v>
      </c>
      <c r="E22" t="str">
        <f t="shared" si="5"/>
        <v>UTC+2</v>
      </c>
      <c r="F22" t="str">
        <f t="shared" si="6"/>
        <v>UTC+2-4</v>
      </c>
      <c r="G22" s="2" t="s">
        <v>64</v>
      </c>
      <c r="H22" t="str">
        <f t="shared" si="7"/>
        <v xml:space="preserve">Khartoum, Sudan [N] </v>
      </c>
      <c r="I22" t="str">
        <f t="shared" si="8"/>
        <v>2.7 million</v>
      </c>
      <c r="J22" t="str">
        <f t="shared" si="9"/>
        <v>N</v>
      </c>
      <c r="K22" t="str">
        <f t="shared" si="10"/>
        <v>Khartoum</v>
      </c>
      <c r="M22" t="str">
        <f t="shared" si="11"/>
        <v>N</v>
      </c>
      <c r="N22" t="str">
        <f t="shared" si="12"/>
        <v>Khartoum-N</v>
      </c>
      <c r="O22">
        <f t="shared" si="13"/>
        <v>10</v>
      </c>
    </row>
    <row r="23" spans="1:15" x14ac:dyDescent="0.55000000000000004">
      <c r="A23" t="b">
        <f t="shared" si="1"/>
        <v>1</v>
      </c>
      <c r="B23">
        <f t="shared" si="2"/>
        <v>5</v>
      </c>
      <c r="C23" s="3" t="str">
        <f t="shared" si="3"/>
        <v>2:00 AM (UTC+2) — Central Africa / Eastern European Time</v>
      </c>
      <c r="D23" s="3" t="str">
        <f t="shared" si="4"/>
        <v>UTC+2</v>
      </c>
      <c r="E23" t="str">
        <f t="shared" si="5"/>
        <v>UTC+2</v>
      </c>
      <c r="F23" t="str">
        <f t="shared" si="6"/>
        <v>UTC+2-5</v>
      </c>
      <c r="G23" s="2" t="s">
        <v>65</v>
      </c>
      <c r="H23" t="str">
        <f t="shared" si="7"/>
        <v xml:space="preserve">Bucharest, Romania [N] </v>
      </c>
      <c r="I23" t="str">
        <f t="shared" si="8"/>
        <v>1.8 million</v>
      </c>
      <c r="J23" t="str">
        <f t="shared" si="9"/>
        <v>N</v>
      </c>
      <c r="K23" t="str">
        <f t="shared" si="10"/>
        <v>Bucharest</v>
      </c>
      <c r="M23" t="str">
        <f t="shared" si="11"/>
        <v>N</v>
      </c>
      <c r="N23" t="str">
        <f t="shared" si="12"/>
        <v>Bucharest-N</v>
      </c>
      <c r="O23">
        <f t="shared" si="13"/>
        <v>11</v>
      </c>
    </row>
    <row r="24" spans="1:15" x14ac:dyDescent="0.55000000000000004">
      <c r="A24" t="b">
        <f t="shared" si="1"/>
        <v>1</v>
      </c>
      <c r="B24">
        <f t="shared" si="2"/>
        <v>6</v>
      </c>
      <c r="C24" s="3" t="str">
        <f t="shared" si="3"/>
        <v>2:00 AM (UTC+2) — Central Africa / Eastern European Time</v>
      </c>
      <c r="D24" s="3" t="str">
        <f t="shared" si="4"/>
        <v>UTC+2</v>
      </c>
      <c r="E24" t="str">
        <f t="shared" si="5"/>
        <v>UTC+2</v>
      </c>
      <c r="F24" t="str">
        <f t="shared" si="6"/>
        <v>UTC+2-6</v>
      </c>
      <c r="G24" s="2" t="s">
        <v>66</v>
      </c>
      <c r="H24" t="str">
        <f t="shared" si="7"/>
        <v xml:space="preserve">Lusaka, Zambia [S] </v>
      </c>
      <c r="I24" t="str">
        <f t="shared" si="8"/>
        <v>1.7 million</v>
      </c>
      <c r="J24" t="str">
        <f t="shared" si="9"/>
        <v>S</v>
      </c>
      <c r="K24" t="str">
        <f t="shared" si="10"/>
        <v>Lusaka</v>
      </c>
      <c r="M24" t="str">
        <f t="shared" si="11"/>
        <v>S</v>
      </c>
      <c r="N24" t="str">
        <f t="shared" si="12"/>
        <v>Lusaka-S</v>
      </c>
      <c r="O24">
        <f t="shared" si="13"/>
        <v>8</v>
      </c>
    </row>
    <row r="25" spans="1:15" x14ac:dyDescent="0.55000000000000004">
      <c r="A25" t="b">
        <f t="shared" si="1"/>
        <v>1</v>
      </c>
      <c r="B25">
        <f t="shared" si="2"/>
        <v>7</v>
      </c>
      <c r="C25" s="3" t="str">
        <f t="shared" si="3"/>
        <v>2:00 AM (UTC+2) — Central Africa / Eastern European Time</v>
      </c>
      <c r="D25" s="3" t="str">
        <f t="shared" si="4"/>
        <v>UTC+2</v>
      </c>
      <c r="E25" t="str">
        <f t="shared" si="5"/>
        <v>UTC+2</v>
      </c>
      <c r="F25" t="str">
        <f t="shared" si="6"/>
        <v>UTC+2-7</v>
      </c>
      <c r="G25" s="2" t="s">
        <v>67</v>
      </c>
      <c r="H25" t="str">
        <f t="shared" si="7"/>
        <v xml:space="preserve">Athens, Greece [N] </v>
      </c>
      <c r="I25" t="str">
        <f t="shared" si="8"/>
        <v>640,000</v>
      </c>
      <c r="J25" t="str">
        <f t="shared" si="9"/>
        <v>N</v>
      </c>
      <c r="K25" t="str">
        <f t="shared" si="10"/>
        <v>Athens</v>
      </c>
      <c r="M25" t="str">
        <f t="shared" si="11"/>
        <v>N</v>
      </c>
      <c r="N25" t="str">
        <f t="shared" si="12"/>
        <v>Athens-N</v>
      </c>
      <c r="O25">
        <f t="shared" si="13"/>
        <v>8</v>
      </c>
    </row>
    <row r="26" spans="1:15" x14ac:dyDescent="0.55000000000000004">
      <c r="A26" t="b">
        <f t="shared" si="1"/>
        <v>0</v>
      </c>
      <c r="B26">
        <f t="shared" si="2"/>
        <v>0</v>
      </c>
      <c r="C26" s="3" t="str">
        <f t="shared" si="3"/>
        <v>3:00 AM (UTC+3) — East Africa / Arabia / Moscow Time</v>
      </c>
      <c r="D26" s="3" t="str">
        <f t="shared" si="4"/>
        <v>UTC+3</v>
      </c>
      <c r="E26" t="str">
        <f t="shared" si="5"/>
        <v>UTC+3</v>
      </c>
      <c r="F26" t="str">
        <f t="shared" si="6"/>
        <v>UTC+3-0</v>
      </c>
      <c r="G26" s="1" t="s">
        <v>3</v>
      </c>
      <c r="H26" t="str">
        <f t="shared" si="7"/>
        <v xml:space="preserve">3:00 AM (UTC+3) </v>
      </c>
      <c r="I26" t="e">
        <f t="shared" si="8"/>
        <v>#N/A</v>
      </c>
      <c r="J26" t="e">
        <f t="shared" si="9"/>
        <v>#N/A</v>
      </c>
      <c r="K26" t="e">
        <f t="shared" si="10"/>
        <v>#N/A</v>
      </c>
      <c r="M26" t="e">
        <f t="shared" si="11"/>
        <v>#N/A</v>
      </c>
      <c r="N26" t="e">
        <f t="shared" si="12"/>
        <v>#N/A</v>
      </c>
      <c r="O26" t="e">
        <f t="shared" si="13"/>
        <v>#N/A</v>
      </c>
    </row>
    <row r="27" spans="1:15" x14ac:dyDescent="0.55000000000000004">
      <c r="A27" t="b">
        <f t="shared" si="1"/>
        <v>1</v>
      </c>
      <c r="B27">
        <f t="shared" si="2"/>
        <v>1</v>
      </c>
      <c r="C27" s="3" t="str">
        <f t="shared" si="3"/>
        <v>3:00 AM (UTC+3) — East Africa / Arabia / Moscow Time</v>
      </c>
      <c r="D27" s="3" t="str">
        <f t="shared" si="4"/>
        <v>UTC+3</v>
      </c>
      <c r="E27" t="str">
        <f t="shared" si="5"/>
        <v>UTC+3</v>
      </c>
      <c r="F27" t="str">
        <f t="shared" si="6"/>
        <v>UTC+3-1</v>
      </c>
      <c r="G27" s="2" t="s">
        <v>68</v>
      </c>
      <c r="H27" t="str">
        <f t="shared" si="7"/>
        <v xml:space="preserve">Istanbul, Turkey [N] </v>
      </c>
      <c r="I27" t="str">
        <f t="shared" si="8"/>
        <v>15.8 million</v>
      </c>
      <c r="J27" t="str">
        <f t="shared" si="9"/>
        <v>N</v>
      </c>
      <c r="K27" t="str">
        <f t="shared" si="10"/>
        <v>Istanbul</v>
      </c>
      <c r="M27" t="str">
        <f t="shared" si="11"/>
        <v>N</v>
      </c>
      <c r="N27" t="str">
        <f t="shared" si="12"/>
        <v>Istanbul-N</v>
      </c>
      <c r="O27">
        <f t="shared" si="13"/>
        <v>10</v>
      </c>
    </row>
    <row r="28" spans="1:15" x14ac:dyDescent="0.55000000000000004">
      <c r="A28" t="b">
        <f t="shared" si="1"/>
        <v>1</v>
      </c>
      <c r="B28">
        <f t="shared" si="2"/>
        <v>2</v>
      </c>
      <c r="C28" s="3" t="str">
        <f t="shared" si="3"/>
        <v>3:00 AM (UTC+3) — East Africa / Arabia / Moscow Time</v>
      </c>
      <c r="D28" s="3" t="str">
        <f t="shared" si="4"/>
        <v>UTC+3</v>
      </c>
      <c r="E28" t="str">
        <f t="shared" si="5"/>
        <v>UTC+3</v>
      </c>
      <c r="F28" t="str">
        <f t="shared" si="6"/>
        <v>UTC+3-2</v>
      </c>
      <c r="G28" s="2" t="s">
        <v>69</v>
      </c>
      <c r="H28" t="str">
        <f t="shared" si="7"/>
        <v xml:space="preserve">Moscow, Russia [N] </v>
      </c>
      <c r="I28" t="str">
        <f t="shared" si="8"/>
        <v>13.0 million</v>
      </c>
      <c r="J28" t="str">
        <f t="shared" si="9"/>
        <v>N</v>
      </c>
      <c r="K28" t="str">
        <f t="shared" si="10"/>
        <v>Moscow</v>
      </c>
      <c r="M28" t="str">
        <f t="shared" si="11"/>
        <v>N</v>
      </c>
      <c r="N28" t="str">
        <f t="shared" si="12"/>
        <v>Moscow-N</v>
      </c>
      <c r="O28">
        <f t="shared" si="13"/>
        <v>8</v>
      </c>
    </row>
    <row r="29" spans="1:15" x14ac:dyDescent="0.55000000000000004">
      <c r="A29" t="b">
        <f t="shared" si="1"/>
        <v>1</v>
      </c>
      <c r="B29">
        <f t="shared" si="2"/>
        <v>3</v>
      </c>
      <c r="C29" s="3" t="str">
        <f t="shared" si="3"/>
        <v>3:00 AM (UTC+3) — East Africa / Arabia / Moscow Time</v>
      </c>
      <c r="D29" s="3" t="str">
        <f t="shared" si="4"/>
        <v>UTC+3</v>
      </c>
      <c r="E29" t="str">
        <f t="shared" si="5"/>
        <v>UTC+3</v>
      </c>
      <c r="F29" t="str">
        <f t="shared" si="6"/>
        <v>UTC+3-3</v>
      </c>
      <c r="G29" s="2" t="s">
        <v>70</v>
      </c>
      <c r="H29" t="str">
        <f t="shared" si="7"/>
        <v xml:space="preserve">Baghdad, Iraq [N] </v>
      </c>
      <c r="I29" t="str">
        <f t="shared" si="8"/>
        <v>7.5 million</v>
      </c>
      <c r="J29" t="str">
        <f t="shared" si="9"/>
        <v>N</v>
      </c>
      <c r="K29" t="str">
        <f t="shared" si="10"/>
        <v>Baghdad</v>
      </c>
      <c r="M29" t="str">
        <f t="shared" si="11"/>
        <v>N</v>
      </c>
      <c r="N29" t="str">
        <f t="shared" si="12"/>
        <v>Baghdad-N</v>
      </c>
      <c r="O29">
        <f t="shared" si="13"/>
        <v>9</v>
      </c>
    </row>
    <row r="30" spans="1:15" x14ac:dyDescent="0.55000000000000004">
      <c r="A30" t="b">
        <f t="shared" si="1"/>
        <v>1</v>
      </c>
      <c r="B30">
        <f t="shared" si="2"/>
        <v>4</v>
      </c>
      <c r="C30" s="3" t="str">
        <f t="shared" si="3"/>
        <v>3:00 AM (UTC+3) — East Africa / Arabia / Moscow Time</v>
      </c>
      <c r="D30" s="3" t="str">
        <f t="shared" si="4"/>
        <v>UTC+3</v>
      </c>
      <c r="E30" t="str">
        <f t="shared" si="5"/>
        <v>UTC+3</v>
      </c>
      <c r="F30" t="str">
        <f t="shared" si="6"/>
        <v>UTC+3-4</v>
      </c>
      <c r="G30" s="2" t="s">
        <v>71</v>
      </c>
      <c r="H30" t="str">
        <f t="shared" si="7"/>
        <v xml:space="preserve">Riyadh, Saudi Arabia [N] </v>
      </c>
      <c r="I30" t="str">
        <f t="shared" si="8"/>
        <v>7.0 million</v>
      </c>
      <c r="J30" t="str">
        <f t="shared" si="9"/>
        <v>N</v>
      </c>
      <c r="K30" t="str">
        <f t="shared" si="10"/>
        <v>Riyadh</v>
      </c>
      <c r="M30" t="str">
        <f t="shared" si="11"/>
        <v>N</v>
      </c>
      <c r="N30" t="str">
        <f t="shared" si="12"/>
        <v>Riyadh-N</v>
      </c>
      <c r="O30">
        <f t="shared" si="13"/>
        <v>8</v>
      </c>
    </row>
    <row r="31" spans="1:15" x14ac:dyDescent="0.55000000000000004">
      <c r="A31" t="b">
        <f t="shared" si="1"/>
        <v>1</v>
      </c>
      <c r="B31">
        <f t="shared" si="2"/>
        <v>5</v>
      </c>
      <c r="C31" s="3" t="str">
        <f t="shared" si="3"/>
        <v>3:00 AM (UTC+3) — East Africa / Arabia / Moscow Time</v>
      </c>
      <c r="D31" s="3" t="str">
        <f t="shared" si="4"/>
        <v>UTC+3</v>
      </c>
      <c r="E31" t="str">
        <f t="shared" si="5"/>
        <v>UTC+3</v>
      </c>
      <c r="F31" t="str">
        <f t="shared" si="6"/>
        <v>UTC+3-5</v>
      </c>
      <c r="G31" s="2" t="s">
        <v>72</v>
      </c>
      <c r="H31" t="str">
        <f t="shared" si="7"/>
        <v xml:space="preserve">Dar es Salaam, Tanzania [S] </v>
      </c>
      <c r="I31" t="str">
        <f t="shared" si="8"/>
        <v>7.0 million</v>
      </c>
      <c r="J31" t="str">
        <f t="shared" si="9"/>
        <v>S</v>
      </c>
      <c r="K31" t="str">
        <f t="shared" si="10"/>
        <v>Dar es Salaam</v>
      </c>
      <c r="M31" t="str">
        <f t="shared" si="11"/>
        <v>S</v>
      </c>
      <c r="N31" t="str">
        <f t="shared" si="12"/>
        <v>Dar es Salaam-S</v>
      </c>
      <c r="O31">
        <f t="shared" si="13"/>
        <v>15</v>
      </c>
    </row>
    <row r="32" spans="1:15" x14ac:dyDescent="0.55000000000000004">
      <c r="A32" t="b">
        <f t="shared" si="1"/>
        <v>1</v>
      </c>
      <c r="B32">
        <f t="shared" si="2"/>
        <v>6</v>
      </c>
      <c r="C32" s="3" t="str">
        <f t="shared" si="3"/>
        <v>3:00 AM (UTC+3) — East Africa / Arabia / Moscow Time</v>
      </c>
      <c r="D32" s="3" t="str">
        <f t="shared" si="4"/>
        <v>UTC+3</v>
      </c>
      <c r="E32" t="str">
        <f t="shared" si="5"/>
        <v>UTC+3</v>
      </c>
      <c r="F32" t="str">
        <f t="shared" si="6"/>
        <v>UTC+3-6</v>
      </c>
      <c r="G32" s="2" t="s">
        <v>73</v>
      </c>
      <c r="H32" t="str">
        <f t="shared" si="7"/>
        <v xml:space="preserve">Nairobi, Kenya [S] </v>
      </c>
      <c r="I32" t="str">
        <f t="shared" si="8"/>
        <v>4.4 million</v>
      </c>
      <c r="J32" t="str">
        <f t="shared" si="9"/>
        <v>S</v>
      </c>
      <c r="K32" t="str">
        <f t="shared" si="10"/>
        <v>Nairobi</v>
      </c>
      <c r="M32" t="str">
        <f t="shared" si="11"/>
        <v>S</v>
      </c>
      <c r="N32" t="str">
        <f t="shared" si="12"/>
        <v>Nairobi-S</v>
      </c>
      <c r="O32">
        <f t="shared" si="13"/>
        <v>9</v>
      </c>
    </row>
    <row r="33" spans="1:15" x14ac:dyDescent="0.55000000000000004">
      <c r="A33" t="b">
        <f t="shared" si="1"/>
        <v>1</v>
      </c>
      <c r="B33">
        <f t="shared" si="2"/>
        <v>7</v>
      </c>
      <c r="C33" s="3" t="str">
        <f t="shared" si="3"/>
        <v>3:00 AM (UTC+3) — East Africa / Arabia / Moscow Time</v>
      </c>
      <c r="D33" s="3" t="str">
        <f t="shared" si="4"/>
        <v>UTC+3</v>
      </c>
      <c r="E33" t="str">
        <f t="shared" si="5"/>
        <v>UTC+3</v>
      </c>
      <c r="F33" t="str">
        <f t="shared" si="6"/>
        <v>UTC+3-7</v>
      </c>
      <c r="G33" s="2" t="s">
        <v>74</v>
      </c>
      <c r="H33" t="str">
        <f t="shared" si="7"/>
        <v xml:space="preserve">Addis Ababa, Ethiopia [N] </v>
      </c>
      <c r="I33" t="str">
        <f t="shared" si="8"/>
        <v>3.8 million</v>
      </c>
      <c r="J33" t="str">
        <f t="shared" si="9"/>
        <v>N</v>
      </c>
      <c r="K33" t="str">
        <f t="shared" si="10"/>
        <v>Addis Ababa</v>
      </c>
      <c r="M33" t="str">
        <f t="shared" si="11"/>
        <v>N</v>
      </c>
      <c r="N33" t="str">
        <f t="shared" si="12"/>
        <v>Addis Ababa-N</v>
      </c>
      <c r="O33">
        <f t="shared" si="13"/>
        <v>13</v>
      </c>
    </row>
    <row r="34" spans="1:15" x14ac:dyDescent="0.55000000000000004">
      <c r="A34" t="b">
        <f t="shared" si="1"/>
        <v>0</v>
      </c>
      <c r="B34">
        <f t="shared" si="2"/>
        <v>0</v>
      </c>
      <c r="C34" s="3" t="str">
        <f t="shared" si="3"/>
        <v>4:00 AM (UTC+4) — Gulf / Caucasus Time</v>
      </c>
      <c r="D34" s="3" t="str">
        <f t="shared" si="4"/>
        <v>UTC+4</v>
      </c>
      <c r="E34" t="str">
        <f t="shared" si="5"/>
        <v>UTC+4</v>
      </c>
      <c r="F34" t="str">
        <f t="shared" si="6"/>
        <v>UTC+4-0</v>
      </c>
      <c r="G34" s="1" t="s">
        <v>4</v>
      </c>
      <c r="H34" t="str">
        <f t="shared" si="7"/>
        <v xml:space="preserve">4:00 AM (UTC+4) </v>
      </c>
      <c r="I34" t="e">
        <f t="shared" si="8"/>
        <v>#N/A</v>
      </c>
      <c r="J34" t="e">
        <f t="shared" si="9"/>
        <v>#N/A</v>
      </c>
      <c r="K34" t="e">
        <f t="shared" si="10"/>
        <v>#N/A</v>
      </c>
      <c r="M34" t="e">
        <f t="shared" si="11"/>
        <v>#N/A</v>
      </c>
      <c r="N34" t="e">
        <f t="shared" si="12"/>
        <v>#N/A</v>
      </c>
      <c r="O34" t="e">
        <f t="shared" si="13"/>
        <v>#N/A</v>
      </c>
    </row>
    <row r="35" spans="1:15" x14ac:dyDescent="0.55000000000000004">
      <c r="A35" t="b">
        <f t="shared" si="1"/>
        <v>1</v>
      </c>
      <c r="B35">
        <f t="shared" si="2"/>
        <v>1</v>
      </c>
      <c r="C35" s="3" t="str">
        <f t="shared" si="3"/>
        <v>4:00 AM (UTC+4) — Gulf / Caucasus Time</v>
      </c>
      <c r="D35" s="3" t="str">
        <f t="shared" si="4"/>
        <v>UTC+4</v>
      </c>
      <c r="E35" t="str">
        <f t="shared" si="5"/>
        <v>UTC+4</v>
      </c>
      <c r="F35" t="str">
        <f t="shared" si="6"/>
        <v>UTC+4-1</v>
      </c>
      <c r="G35" s="2" t="s">
        <v>75</v>
      </c>
      <c r="H35" t="str">
        <f t="shared" si="7"/>
        <v xml:space="preserve">Dubai, United Arab Emirates [N] </v>
      </c>
      <c r="I35" t="str">
        <f t="shared" si="8"/>
        <v>3.6 million</v>
      </c>
      <c r="J35" t="str">
        <f t="shared" si="9"/>
        <v>N</v>
      </c>
      <c r="K35" t="str">
        <f t="shared" si="10"/>
        <v>Dubai</v>
      </c>
      <c r="L35" t="s">
        <v>156</v>
      </c>
      <c r="M35" t="str">
        <f t="shared" si="11"/>
        <v>S</v>
      </c>
      <c r="N35" t="str">
        <f t="shared" si="12"/>
        <v>Dubai-S</v>
      </c>
      <c r="O35">
        <f t="shared" si="13"/>
        <v>7</v>
      </c>
    </row>
    <row r="36" spans="1:15" x14ac:dyDescent="0.55000000000000004">
      <c r="A36" t="b">
        <f t="shared" si="1"/>
        <v>1</v>
      </c>
      <c r="B36">
        <f t="shared" si="2"/>
        <v>2</v>
      </c>
      <c r="C36" s="3" t="str">
        <f t="shared" si="3"/>
        <v>4:00 AM (UTC+4) — Gulf / Caucasus Time</v>
      </c>
      <c r="D36" s="3" t="str">
        <f t="shared" si="4"/>
        <v>UTC+4</v>
      </c>
      <c r="E36" t="str">
        <f t="shared" si="5"/>
        <v>UTC+4</v>
      </c>
      <c r="F36" t="str">
        <f t="shared" si="6"/>
        <v>UTC+4-2</v>
      </c>
      <c r="G36" s="2" t="s">
        <v>76</v>
      </c>
      <c r="H36" t="str">
        <f t="shared" si="7"/>
        <v xml:space="preserve">Baku, Azerbaijan [N] </v>
      </c>
      <c r="I36" t="str">
        <f t="shared" si="8"/>
        <v>2.3 million</v>
      </c>
      <c r="J36" t="str">
        <f t="shared" si="9"/>
        <v>N</v>
      </c>
      <c r="K36" t="str">
        <f t="shared" si="10"/>
        <v>Baku</v>
      </c>
      <c r="M36" t="str">
        <f t="shared" si="11"/>
        <v>N</v>
      </c>
      <c r="N36" t="str">
        <f t="shared" si="12"/>
        <v>Baku-N</v>
      </c>
      <c r="O36">
        <f t="shared" si="13"/>
        <v>6</v>
      </c>
    </row>
    <row r="37" spans="1:15" x14ac:dyDescent="0.55000000000000004">
      <c r="A37" t="b">
        <f t="shared" si="1"/>
        <v>1</v>
      </c>
      <c r="B37">
        <f t="shared" si="2"/>
        <v>3</v>
      </c>
      <c r="C37" s="3" t="str">
        <f t="shared" si="3"/>
        <v>4:00 AM (UTC+4) — Gulf / Caucasus Time</v>
      </c>
      <c r="D37" s="3" t="str">
        <f t="shared" si="4"/>
        <v>UTC+4</v>
      </c>
      <c r="E37" t="str">
        <f t="shared" si="5"/>
        <v>UTC+4</v>
      </c>
      <c r="F37" t="str">
        <f t="shared" si="6"/>
        <v>UTC+4-3</v>
      </c>
      <c r="G37" s="2" t="s">
        <v>77</v>
      </c>
      <c r="H37" t="str">
        <f t="shared" si="7"/>
        <v xml:space="preserve">Muscat, Oman [N] </v>
      </c>
      <c r="I37" t="str">
        <f t="shared" si="8"/>
        <v>1.4 million</v>
      </c>
      <c r="J37" t="str">
        <f t="shared" si="9"/>
        <v>N</v>
      </c>
      <c r="K37" t="str">
        <f t="shared" si="10"/>
        <v>Muscat</v>
      </c>
      <c r="M37" t="str">
        <f t="shared" si="11"/>
        <v>N</v>
      </c>
      <c r="N37" t="str">
        <f t="shared" si="12"/>
        <v>Muscat-N</v>
      </c>
      <c r="O37">
        <f t="shared" si="13"/>
        <v>8</v>
      </c>
    </row>
    <row r="38" spans="1:15" x14ac:dyDescent="0.55000000000000004">
      <c r="A38" t="b">
        <f t="shared" si="1"/>
        <v>1</v>
      </c>
      <c r="B38">
        <f t="shared" si="2"/>
        <v>4</v>
      </c>
      <c r="C38" s="3" t="str">
        <f t="shared" si="3"/>
        <v>4:00 AM (UTC+4) — Gulf / Caucasus Time</v>
      </c>
      <c r="D38" s="3" t="str">
        <f t="shared" si="4"/>
        <v>UTC+4</v>
      </c>
      <c r="E38" t="str">
        <f t="shared" si="5"/>
        <v>UTC+4</v>
      </c>
      <c r="F38" t="str">
        <f t="shared" si="6"/>
        <v>UTC+4-4</v>
      </c>
      <c r="G38" s="2" t="s">
        <v>78</v>
      </c>
      <c r="H38" t="str">
        <f t="shared" si="7"/>
        <v xml:space="preserve">Tbilisi, Georgia [N] </v>
      </c>
      <c r="I38" t="str">
        <f t="shared" si="8"/>
        <v>1.2 million</v>
      </c>
      <c r="J38" t="str">
        <f t="shared" si="9"/>
        <v>N</v>
      </c>
      <c r="K38" t="str">
        <f t="shared" si="10"/>
        <v>Tbilisi</v>
      </c>
      <c r="M38" t="str">
        <f t="shared" si="11"/>
        <v>N</v>
      </c>
      <c r="N38" t="str">
        <f t="shared" si="12"/>
        <v>Tbilisi-N</v>
      </c>
      <c r="O38">
        <f t="shared" si="13"/>
        <v>9</v>
      </c>
    </row>
    <row r="39" spans="1:15" x14ac:dyDescent="0.55000000000000004">
      <c r="A39" t="b">
        <f t="shared" si="1"/>
        <v>1</v>
      </c>
      <c r="B39">
        <f t="shared" si="2"/>
        <v>5</v>
      </c>
      <c r="C39" s="3" t="str">
        <f t="shared" si="3"/>
        <v>4:00 AM (UTC+4) — Gulf / Caucasus Time</v>
      </c>
      <c r="D39" s="3" t="str">
        <f t="shared" si="4"/>
        <v>UTC+4</v>
      </c>
      <c r="E39" t="str">
        <f t="shared" si="5"/>
        <v>UTC+4</v>
      </c>
      <c r="F39" t="str">
        <f t="shared" si="6"/>
        <v>UTC+4-5</v>
      </c>
      <c r="G39" s="2" t="s">
        <v>79</v>
      </c>
      <c r="H39" t="str">
        <f t="shared" si="7"/>
        <v xml:space="preserve">Yerevan, Armenia [N] </v>
      </c>
      <c r="I39" t="str">
        <f t="shared" si="8"/>
        <v>1.1 million</v>
      </c>
      <c r="J39" t="str">
        <f t="shared" si="9"/>
        <v>N</v>
      </c>
      <c r="K39" t="str">
        <f t="shared" si="10"/>
        <v>Yerevan</v>
      </c>
      <c r="M39" t="str">
        <f t="shared" si="11"/>
        <v>N</v>
      </c>
      <c r="N39" t="str">
        <f t="shared" si="12"/>
        <v>Yerevan-N</v>
      </c>
      <c r="O39">
        <f t="shared" si="13"/>
        <v>9</v>
      </c>
    </row>
    <row r="40" spans="1:15" x14ac:dyDescent="0.55000000000000004">
      <c r="A40" t="b">
        <f t="shared" si="1"/>
        <v>1</v>
      </c>
      <c r="B40">
        <f t="shared" si="2"/>
        <v>6</v>
      </c>
      <c r="C40" s="3" t="str">
        <f t="shared" si="3"/>
        <v>4:00 AM (UTC+4) — Gulf / Caucasus Time</v>
      </c>
      <c r="D40" s="3" t="str">
        <f t="shared" si="4"/>
        <v>UTC+4</v>
      </c>
      <c r="E40" t="str">
        <f t="shared" si="5"/>
        <v>UTC+4</v>
      </c>
      <c r="F40" t="str">
        <f t="shared" si="6"/>
        <v>UTC+4-6</v>
      </c>
      <c r="G40" s="2" t="s">
        <v>80</v>
      </c>
      <c r="H40" t="str">
        <f t="shared" si="7"/>
        <v xml:space="preserve">Samara, Russia [N] </v>
      </c>
      <c r="I40" t="str">
        <f t="shared" si="8"/>
        <v>1.1 million</v>
      </c>
      <c r="J40" t="str">
        <f t="shared" si="9"/>
        <v>N</v>
      </c>
      <c r="K40" t="str">
        <f t="shared" si="10"/>
        <v>Samara</v>
      </c>
      <c r="M40" t="str">
        <f t="shared" si="11"/>
        <v>N</v>
      </c>
      <c r="N40" t="str">
        <f t="shared" si="12"/>
        <v>Samara-N</v>
      </c>
      <c r="O40">
        <f t="shared" si="13"/>
        <v>8</v>
      </c>
    </row>
    <row r="41" spans="1:15" x14ac:dyDescent="0.55000000000000004">
      <c r="A41" t="b">
        <f t="shared" si="1"/>
        <v>1</v>
      </c>
      <c r="B41">
        <f t="shared" si="2"/>
        <v>7</v>
      </c>
      <c r="C41" s="3" t="str">
        <f t="shared" si="3"/>
        <v>4:00 AM (UTC+4) — Gulf / Caucasus Time</v>
      </c>
      <c r="D41" s="3" t="str">
        <f t="shared" si="4"/>
        <v>UTC+4</v>
      </c>
      <c r="E41" t="str">
        <f t="shared" si="5"/>
        <v>UTC+4</v>
      </c>
      <c r="F41" t="str">
        <f t="shared" si="6"/>
        <v>UTC+4-7</v>
      </c>
      <c r="G41" s="1" t="s">
        <v>81</v>
      </c>
      <c r="H41" t="str">
        <f t="shared" si="7"/>
        <v xml:space="preserve">5:00 AM (UTC+5) </v>
      </c>
      <c r="I41" t="e">
        <f t="shared" si="8"/>
        <v>#N/A</v>
      </c>
      <c r="J41" t="e">
        <f t="shared" si="9"/>
        <v>#N/A</v>
      </c>
      <c r="K41" t="e">
        <f t="shared" si="10"/>
        <v>#N/A</v>
      </c>
      <c r="M41" t="e">
        <f t="shared" si="11"/>
        <v>#N/A</v>
      </c>
      <c r="N41" t="e">
        <f t="shared" si="12"/>
        <v>#N/A</v>
      </c>
      <c r="O41" t="e">
        <f t="shared" si="13"/>
        <v>#N/A</v>
      </c>
    </row>
    <row r="42" spans="1:15" x14ac:dyDescent="0.55000000000000004">
      <c r="A42" t="b">
        <f t="shared" si="1"/>
        <v>1</v>
      </c>
      <c r="B42">
        <f t="shared" si="2"/>
        <v>8</v>
      </c>
      <c r="C42" s="3" t="str">
        <f t="shared" si="3"/>
        <v>4:00 AM (UTC+4) — Gulf / Caucasus Time</v>
      </c>
      <c r="D42" s="3" t="str">
        <f t="shared" si="4"/>
        <v>UTC+4</v>
      </c>
      <c r="E42" t="str">
        <f t="shared" si="5"/>
        <v>UTC+4</v>
      </c>
      <c r="F42" t="str">
        <f t="shared" si="6"/>
        <v>UTC+4-8</v>
      </c>
      <c r="G42" s="2" t="s">
        <v>82</v>
      </c>
      <c r="H42" t="str">
        <f t="shared" si="7"/>
        <v xml:space="preserve">Karachi, Pakistan [N] </v>
      </c>
      <c r="I42" t="str">
        <f t="shared" si="8"/>
        <v>14.9 million</v>
      </c>
      <c r="J42" t="str">
        <f t="shared" si="9"/>
        <v>N</v>
      </c>
      <c r="K42" t="str">
        <f t="shared" si="10"/>
        <v>Karachi</v>
      </c>
      <c r="M42" t="str">
        <f t="shared" si="11"/>
        <v>N</v>
      </c>
      <c r="N42" t="str">
        <f t="shared" si="12"/>
        <v>Karachi-N</v>
      </c>
      <c r="O42">
        <f t="shared" si="13"/>
        <v>9</v>
      </c>
    </row>
    <row r="43" spans="1:15" x14ac:dyDescent="0.55000000000000004">
      <c r="A43" t="b">
        <f t="shared" si="1"/>
        <v>1</v>
      </c>
      <c r="B43">
        <f t="shared" si="2"/>
        <v>9</v>
      </c>
      <c r="C43" s="3" t="str">
        <f t="shared" si="3"/>
        <v>4:00 AM (UTC+4) — Gulf / Caucasus Time</v>
      </c>
      <c r="D43" s="3" t="str">
        <f t="shared" si="4"/>
        <v>UTC+4</v>
      </c>
      <c r="E43" t="str">
        <f t="shared" si="5"/>
        <v>UTC+4</v>
      </c>
      <c r="F43" t="str">
        <f t="shared" si="6"/>
        <v>UTC+4-9</v>
      </c>
      <c r="G43" s="2" t="s">
        <v>83</v>
      </c>
      <c r="H43" t="str">
        <f t="shared" si="7"/>
        <v xml:space="preserve">Lahore, Pakistan [N] </v>
      </c>
      <c r="I43" t="str">
        <f t="shared" si="8"/>
        <v>11.1 million</v>
      </c>
      <c r="J43" t="str">
        <f t="shared" si="9"/>
        <v>N</v>
      </c>
      <c r="K43" t="str">
        <f t="shared" si="10"/>
        <v>Lahore</v>
      </c>
      <c r="M43" t="str">
        <f t="shared" si="11"/>
        <v>N</v>
      </c>
      <c r="N43" t="str">
        <f t="shared" si="12"/>
        <v>Lahore-N</v>
      </c>
      <c r="O43">
        <f t="shared" si="13"/>
        <v>8</v>
      </c>
    </row>
    <row r="44" spans="1:15" x14ac:dyDescent="0.55000000000000004">
      <c r="A44" t="b">
        <f t="shared" si="1"/>
        <v>1</v>
      </c>
      <c r="B44">
        <f t="shared" si="2"/>
        <v>10</v>
      </c>
      <c r="C44" s="3" t="str">
        <f t="shared" si="3"/>
        <v>4:00 AM (UTC+4) — Gulf / Caucasus Time</v>
      </c>
      <c r="D44" s="3" t="str">
        <f t="shared" si="4"/>
        <v>UTC+4</v>
      </c>
      <c r="E44" t="str">
        <f t="shared" si="5"/>
        <v>UTC+4</v>
      </c>
      <c r="F44" t="str">
        <f t="shared" si="6"/>
        <v>UTC+4-10</v>
      </c>
      <c r="G44" s="2" t="s">
        <v>84</v>
      </c>
      <c r="H44" t="str">
        <f t="shared" si="7"/>
        <v xml:space="preserve">Tashkent, Uzbekistan [N] </v>
      </c>
      <c r="I44" t="str">
        <f t="shared" si="8"/>
        <v>2.9 million</v>
      </c>
      <c r="J44" t="str">
        <f t="shared" si="9"/>
        <v>N</v>
      </c>
      <c r="K44" t="str">
        <f t="shared" si="10"/>
        <v>Tashkent</v>
      </c>
      <c r="M44" t="str">
        <f t="shared" si="11"/>
        <v>N</v>
      </c>
      <c r="N44" t="str">
        <f t="shared" si="12"/>
        <v>Tashkent-N</v>
      </c>
      <c r="O44">
        <f t="shared" si="13"/>
        <v>10</v>
      </c>
    </row>
    <row r="45" spans="1:15" x14ac:dyDescent="0.55000000000000004">
      <c r="A45" t="b">
        <f t="shared" si="1"/>
        <v>1</v>
      </c>
      <c r="B45">
        <f t="shared" si="2"/>
        <v>11</v>
      </c>
      <c r="C45" s="3" t="str">
        <f t="shared" si="3"/>
        <v>4:00 AM (UTC+4) — Gulf / Caucasus Time</v>
      </c>
      <c r="D45" s="3" t="str">
        <f t="shared" si="4"/>
        <v>UTC+4</v>
      </c>
      <c r="E45" t="str">
        <f t="shared" si="5"/>
        <v>UTC+4</v>
      </c>
      <c r="F45" t="str">
        <f t="shared" si="6"/>
        <v>UTC+4-11</v>
      </c>
      <c r="G45" s="2" t="s">
        <v>85</v>
      </c>
      <c r="H45" t="str">
        <f t="shared" si="7"/>
        <v xml:space="preserve">Ekaterinburg, Russia [N] </v>
      </c>
      <c r="I45" t="str">
        <f t="shared" si="8"/>
        <v>1.5 million</v>
      </c>
      <c r="J45" t="str">
        <f t="shared" si="9"/>
        <v>N</v>
      </c>
      <c r="K45" t="str">
        <f t="shared" si="10"/>
        <v>Ekaterinburg</v>
      </c>
      <c r="M45" t="str">
        <f t="shared" si="11"/>
        <v>N</v>
      </c>
      <c r="N45" t="str">
        <f t="shared" si="12"/>
        <v>Ekaterinburg-N</v>
      </c>
      <c r="O45">
        <f t="shared" si="13"/>
        <v>14</v>
      </c>
    </row>
    <row r="46" spans="1:15" x14ac:dyDescent="0.55000000000000004">
      <c r="A46" t="b">
        <f t="shared" si="1"/>
        <v>1</v>
      </c>
      <c r="B46">
        <f t="shared" si="2"/>
        <v>12</v>
      </c>
      <c r="C46" s="3" t="str">
        <f t="shared" si="3"/>
        <v>4:00 AM (UTC+4) — Gulf / Caucasus Time</v>
      </c>
      <c r="D46" s="3" t="str">
        <f t="shared" si="4"/>
        <v>UTC+4</v>
      </c>
      <c r="E46" t="str">
        <f t="shared" si="5"/>
        <v>UTC+4</v>
      </c>
      <c r="F46" t="str">
        <f t="shared" si="6"/>
        <v>UTC+4-12</v>
      </c>
      <c r="G46" s="2" t="s">
        <v>86</v>
      </c>
      <c r="H46" t="str">
        <f t="shared" si="7"/>
        <v xml:space="preserve">Ashgabat, Turkmenistan [N] </v>
      </c>
      <c r="I46" t="str">
        <f t="shared" si="8"/>
        <v>1.0 million</v>
      </c>
      <c r="J46" t="str">
        <f t="shared" si="9"/>
        <v>N</v>
      </c>
      <c r="K46" t="str">
        <f t="shared" si="10"/>
        <v>Ashgabat</v>
      </c>
      <c r="M46" t="str">
        <f t="shared" si="11"/>
        <v>N</v>
      </c>
      <c r="N46" t="str">
        <f t="shared" si="12"/>
        <v>Ashgabat-N</v>
      </c>
      <c r="O46">
        <f t="shared" si="13"/>
        <v>10</v>
      </c>
    </row>
    <row r="47" spans="1:15" x14ac:dyDescent="0.55000000000000004">
      <c r="A47" t="b">
        <f t="shared" si="1"/>
        <v>0</v>
      </c>
      <c r="B47">
        <f t="shared" si="2"/>
        <v>0</v>
      </c>
      <c r="C47" s="3" t="str">
        <f t="shared" si="3"/>
        <v>6:00 AM (UTC+6) — Central Asia Time</v>
      </c>
      <c r="D47" s="3" t="str">
        <f t="shared" si="4"/>
        <v>UTC+6</v>
      </c>
      <c r="E47" t="str">
        <f t="shared" si="5"/>
        <v>UTC+6</v>
      </c>
      <c r="F47" t="str">
        <f t="shared" si="6"/>
        <v>UTC+6-0</v>
      </c>
      <c r="G47" s="1" t="s">
        <v>5</v>
      </c>
      <c r="H47" t="str">
        <f t="shared" si="7"/>
        <v xml:space="preserve">6:00 AM (UTC+6) </v>
      </c>
      <c r="I47" t="e">
        <f t="shared" si="8"/>
        <v>#N/A</v>
      </c>
      <c r="J47" t="e">
        <f t="shared" si="9"/>
        <v>#N/A</v>
      </c>
      <c r="K47" t="e">
        <f t="shared" si="10"/>
        <v>#N/A</v>
      </c>
      <c r="M47" t="e">
        <f t="shared" si="11"/>
        <v>#N/A</v>
      </c>
      <c r="N47" t="e">
        <f t="shared" si="12"/>
        <v>#N/A</v>
      </c>
      <c r="O47" t="e">
        <f t="shared" si="13"/>
        <v>#N/A</v>
      </c>
    </row>
    <row r="48" spans="1:15" x14ac:dyDescent="0.55000000000000004">
      <c r="A48" t="b">
        <f t="shared" si="1"/>
        <v>1</v>
      </c>
      <c r="B48">
        <f t="shared" si="2"/>
        <v>1</v>
      </c>
      <c r="C48" s="3" t="str">
        <f t="shared" si="3"/>
        <v>6:00 AM (UTC+6) — Central Asia Time</v>
      </c>
      <c r="D48" s="3" t="str">
        <f t="shared" si="4"/>
        <v>UTC+6</v>
      </c>
      <c r="E48" t="str">
        <f t="shared" si="5"/>
        <v>UTC+6</v>
      </c>
      <c r="F48" t="str">
        <f t="shared" si="6"/>
        <v>UTC+6-1</v>
      </c>
      <c r="G48" s="2" t="s">
        <v>87</v>
      </c>
      <c r="H48" t="str">
        <f t="shared" si="7"/>
        <v xml:space="preserve">Dhaka, Bangladesh [N] </v>
      </c>
      <c r="I48" t="str">
        <f t="shared" si="8"/>
        <v>10.2 million</v>
      </c>
      <c r="J48" t="str">
        <f t="shared" si="9"/>
        <v>N</v>
      </c>
      <c r="K48" t="str">
        <f t="shared" si="10"/>
        <v>Dhaka</v>
      </c>
      <c r="M48" t="str">
        <f t="shared" si="11"/>
        <v>N</v>
      </c>
      <c r="N48" t="str">
        <f t="shared" si="12"/>
        <v>Dhaka-N</v>
      </c>
      <c r="O48">
        <f t="shared" si="13"/>
        <v>7</v>
      </c>
    </row>
    <row r="49" spans="1:15" x14ac:dyDescent="0.55000000000000004">
      <c r="A49" t="b">
        <f t="shared" si="1"/>
        <v>1</v>
      </c>
      <c r="B49">
        <f t="shared" si="2"/>
        <v>2</v>
      </c>
      <c r="C49" s="3" t="str">
        <f t="shared" si="3"/>
        <v>6:00 AM (UTC+6) — Central Asia Time</v>
      </c>
      <c r="D49" s="3" t="str">
        <f t="shared" si="4"/>
        <v>UTC+6</v>
      </c>
      <c r="E49" t="str">
        <f t="shared" si="5"/>
        <v>UTC+6</v>
      </c>
      <c r="F49" t="str">
        <f t="shared" si="6"/>
        <v>UTC+6-2</v>
      </c>
      <c r="G49" s="2" t="s">
        <v>88</v>
      </c>
      <c r="H49" t="str">
        <f t="shared" si="7"/>
        <v xml:space="preserve">Chittagong, Bangladesh [N] </v>
      </c>
      <c r="I49" t="str">
        <f t="shared" si="8"/>
        <v>3.2 million</v>
      </c>
      <c r="J49" t="str">
        <f t="shared" si="9"/>
        <v>N</v>
      </c>
      <c r="K49" t="str">
        <f t="shared" si="10"/>
        <v>Chittagong</v>
      </c>
      <c r="M49" t="str">
        <f t="shared" si="11"/>
        <v>N</v>
      </c>
      <c r="N49" t="str">
        <f t="shared" si="12"/>
        <v>Chittagong-N</v>
      </c>
      <c r="O49">
        <f t="shared" si="13"/>
        <v>12</v>
      </c>
    </row>
    <row r="50" spans="1:15" x14ac:dyDescent="0.55000000000000004">
      <c r="A50" t="b">
        <f t="shared" si="1"/>
        <v>1</v>
      </c>
      <c r="B50">
        <f t="shared" si="2"/>
        <v>3</v>
      </c>
      <c r="C50" s="3" t="str">
        <f t="shared" si="3"/>
        <v>6:00 AM (UTC+6) — Central Asia Time</v>
      </c>
      <c r="D50" s="3" t="str">
        <f t="shared" si="4"/>
        <v>UTC+6</v>
      </c>
      <c r="E50" t="str">
        <f t="shared" si="5"/>
        <v>UTC+6</v>
      </c>
      <c r="F50" t="str">
        <f t="shared" si="6"/>
        <v>UTC+6-3</v>
      </c>
      <c r="G50" s="2" t="s">
        <v>89</v>
      </c>
      <c r="H50" t="str">
        <f t="shared" si="7"/>
        <v xml:space="preserve">Almaty, Kazakhstan [N] </v>
      </c>
      <c r="I50" t="str">
        <f t="shared" si="8"/>
        <v>2.0 million</v>
      </c>
      <c r="J50" t="str">
        <f t="shared" si="9"/>
        <v>N</v>
      </c>
      <c r="K50" t="str">
        <f t="shared" si="10"/>
        <v>Almaty</v>
      </c>
      <c r="M50" t="str">
        <f t="shared" si="11"/>
        <v>N</v>
      </c>
      <c r="N50" t="str">
        <f t="shared" si="12"/>
        <v>Almaty-N</v>
      </c>
      <c r="O50">
        <f t="shared" si="13"/>
        <v>8</v>
      </c>
    </row>
    <row r="51" spans="1:15" x14ac:dyDescent="0.55000000000000004">
      <c r="A51" t="b">
        <f t="shared" si="1"/>
        <v>1</v>
      </c>
      <c r="B51">
        <f t="shared" si="2"/>
        <v>4</v>
      </c>
      <c r="C51" s="3" t="str">
        <f t="shared" si="3"/>
        <v>6:00 AM (UTC+6) — Central Asia Time</v>
      </c>
      <c r="D51" s="3" t="str">
        <f t="shared" si="4"/>
        <v>UTC+6</v>
      </c>
      <c r="E51" t="str">
        <f t="shared" si="5"/>
        <v>UTC+6</v>
      </c>
      <c r="F51" t="str">
        <f t="shared" si="6"/>
        <v>UTC+6-4</v>
      </c>
      <c r="G51" s="2" t="s">
        <v>90</v>
      </c>
      <c r="H51" t="str">
        <f t="shared" si="7"/>
        <v xml:space="preserve">Astana, Kazakhstan [N] </v>
      </c>
      <c r="I51" t="str">
        <f t="shared" si="8"/>
        <v>1.3 million</v>
      </c>
      <c r="J51" t="str">
        <f t="shared" si="9"/>
        <v>N</v>
      </c>
      <c r="K51" t="str">
        <f t="shared" si="10"/>
        <v>Astana</v>
      </c>
      <c r="M51" t="str">
        <f t="shared" si="11"/>
        <v>N</v>
      </c>
      <c r="N51" t="str">
        <f t="shared" si="12"/>
        <v>Astana-N</v>
      </c>
      <c r="O51">
        <f t="shared" si="13"/>
        <v>8</v>
      </c>
    </row>
    <row r="52" spans="1:15" x14ac:dyDescent="0.55000000000000004">
      <c r="A52" t="b">
        <f t="shared" si="1"/>
        <v>1</v>
      </c>
      <c r="B52">
        <f t="shared" si="2"/>
        <v>5</v>
      </c>
      <c r="C52" s="3" t="str">
        <f t="shared" si="3"/>
        <v>6:00 AM (UTC+6) — Central Asia Time</v>
      </c>
      <c r="D52" s="3" t="str">
        <f t="shared" si="4"/>
        <v>UTC+6</v>
      </c>
      <c r="E52" t="str">
        <f t="shared" si="5"/>
        <v>UTC+6</v>
      </c>
      <c r="F52" t="str">
        <f t="shared" si="6"/>
        <v>UTC+6-5</v>
      </c>
      <c r="G52" s="2" t="s">
        <v>91</v>
      </c>
      <c r="H52" t="str">
        <f t="shared" si="7"/>
        <v xml:space="preserve">Bishkek, Kyrgyzstan [N] </v>
      </c>
      <c r="I52" t="str">
        <f t="shared" si="8"/>
        <v>1.1 million</v>
      </c>
      <c r="J52" t="str">
        <f t="shared" si="9"/>
        <v>N</v>
      </c>
      <c r="K52" t="str">
        <f t="shared" si="10"/>
        <v>Bishkek</v>
      </c>
      <c r="M52" t="str">
        <f t="shared" si="11"/>
        <v>N</v>
      </c>
      <c r="N52" t="str">
        <f t="shared" si="12"/>
        <v>Bishkek-N</v>
      </c>
      <c r="O52">
        <f t="shared" si="13"/>
        <v>9</v>
      </c>
    </row>
    <row r="53" spans="1:15" x14ac:dyDescent="0.55000000000000004">
      <c r="A53" t="b">
        <f t="shared" si="1"/>
        <v>0</v>
      </c>
      <c r="B53">
        <f t="shared" si="2"/>
        <v>0</v>
      </c>
      <c r="C53" s="3" t="str">
        <f t="shared" si="3"/>
        <v>7:00 AM (UTC+7) — Indochina / Western Indonesia Time</v>
      </c>
      <c r="D53" s="3" t="str">
        <f t="shared" si="4"/>
        <v>UTC+7</v>
      </c>
      <c r="E53" t="str">
        <f t="shared" si="5"/>
        <v>UTC+7</v>
      </c>
      <c r="F53" t="str">
        <f t="shared" si="6"/>
        <v>UTC+7-0</v>
      </c>
      <c r="G53" s="1" t="s">
        <v>6</v>
      </c>
      <c r="H53" t="str">
        <f t="shared" si="7"/>
        <v xml:space="preserve">7:00 AM (UTC+7) </v>
      </c>
      <c r="I53" t="e">
        <f t="shared" si="8"/>
        <v>#N/A</v>
      </c>
      <c r="J53" t="e">
        <f t="shared" si="9"/>
        <v>#N/A</v>
      </c>
      <c r="K53" t="e">
        <f t="shared" si="10"/>
        <v>#N/A</v>
      </c>
      <c r="M53" t="e">
        <f t="shared" si="11"/>
        <v>#N/A</v>
      </c>
      <c r="N53" t="e">
        <f t="shared" si="12"/>
        <v>#N/A</v>
      </c>
      <c r="O53" t="e">
        <f t="shared" si="13"/>
        <v>#N/A</v>
      </c>
    </row>
    <row r="54" spans="1:15" x14ac:dyDescent="0.55000000000000004">
      <c r="A54" t="b">
        <f t="shared" si="1"/>
        <v>1</v>
      </c>
      <c r="B54">
        <f t="shared" si="2"/>
        <v>1</v>
      </c>
      <c r="C54" s="3" t="str">
        <f t="shared" si="3"/>
        <v>7:00 AM (UTC+7) — Indochina / Western Indonesia Time</v>
      </c>
      <c r="D54" s="3" t="str">
        <f t="shared" si="4"/>
        <v>UTC+7</v>
      </c>
      <c r="E54" t="str">
        <f t="shared" si="5"/>
        <v>UTC+7</v>
      </c>
      <c r="F54" t="str">
        <f t="shared" si="6"/>
        <v>UTC+7-1</v>
      </c>
      <c r="G54" s="2" t="s">
        <v>92</v>
      </c>
      <c r="H54" t="str">
        <f t="shared" si="7"/>
        <v xml:space="preserve">Jakarta, Indonesia [S] </v>
      </c>
      <c r="I54" t="str">
        <f t="shared" si="8"/>
        <v>10.6 million</v>
      </c>
      <c r="J54" t="str">
        <f t="shared" si="9"/>
        <v>S</v>
      </c>
      <c r="K54" t="str">
        <f t="shared" si="10"/>
        <v>Jakarta</v>
      </c>
      <c r="M54" t="str">
        <f t="shared" si="11"/>
        <v>S</v>
      </c>
      <c r="N54" t="str">
        <f t="shared" si="12"/>
        <v>Jakarta-S</v>
      </c>
      <c r="O54">
        <f t="shared" si="13"/>
        <v>9</v>
      </c>
    </row>
    <row r="55" spans="1:15" x14ac:dyDescent="0.55000000000000004">
      <c r="A55" t="b">
        <f t="shared" si="1"/>
        <v>1</v>
      </c>
      <c r="B55">
        <f t="shared" si="2"/>
        <v>2</v>
      </c>
      <c r="C55" s="3" t="str">
        <f t="shared" si="3"/>
        <v>7:00 AM (UTC+7) — Indochina / Western Indonesia Time</v>
      </c>
      <c r="D55" s="3" t="str">
        <f t="shared" si="4"/>
        <v>UTC+7</v>
      </c>
      <c r="E55" t="str">
        <f t="shared" si="5"/>
        <v>UTC+7</v>
      </c>
      <c r="F55" t="str">
        <f t="shared" si="6"/>
        <v>UTC+7-2</v>
      </c>
      <c r="G55" s="2" t="s">
        <v>172</v>
      </c>
      <c r="H55" t="str">
        <f t="shared" si="7"/>
        <v xml:space="preserve">Ho Chi Minh, Vietnam [N] </v>
      </c>
      <c r="I55" t="str">
        <f t="shared" si="8"/>
        <v>9.0 million</v>
      </c>
      <c r="J55" t="str">
        <f t="shared" si="9"/>
        <v>N</v>
      </c>
      <c r="K55" t="str">
        <f t="shared" si="10"/>
        <v>Ho Chi Minh</v>
      </c>
      <c r="M55" t="str">
        <f t="shared" si="11"/>
        <v>N</v>
      </c>
      <c r="N55" t="str">
        <f t="shared" si="12"/>
        <v>Ho Chi Minh-N</v>
      </c>
      <c r="O55">
        <f t="shared" si="13"/>
        <v>13</v>
      </c>
    </row>
    <row r="56" spans="1:15" x14ac:dyDescent="0.55000000000000004">
      <c r="A56" t="b">
        <f t="shared" si="1"/>
        <v>1</v>
      </c>
      <c r="B56">
        <f t="shared" si="2"/>
        <v>3</v>
      </c>
      <c r="C56" s="3" t="str">
        <f t="shared" si="3"/>
        <v>7:00 AM (UTC+7) — Indochina / Western Indonesia Time</v>
      </c>
      <c r="D56" s="3" t="str">
        <f t="shared" si="4"/>
        <v>UTC+7</v>
      </c>
      <c r="E56" t="str">
        <f t="shared" si="5"/>
        <v>UTC+7</v>
      </c>
      <c r="F56" t="str">
        <f t="shared" si="6"/>
        <v>UTC+7-3</v>
      </c>
      <c r="G56" s="2" t="s">
        <v>93</v>
      </c>
      <c r="H56" t="str">
        <f t="shared" si="7"/>
        <v xml:space="preserve">Bangkok, Thailand [N] </v>
      </c>
      <c r="I56" t="str">
        <f t="shared" si="8"/>
        <v>5.5 million</v>
      </c>
      <c r="J56" t="str">
        <f t="shared" si="9"/>
        <v>N</v>
      </c>
      <c r="K56" t="str">
        <f t="shared" si="10"/>
        <v>Bangkok</v>
      </c>
      <c r="M56" t="str">
        <f t="shared" si="11"/>
        <v>N</v>
      </c>
      <c r="N56" t="str">
        <f t="shared" si="12"/>
        <v>Bangkok-N</v>
      </c>
      <c r="O56">
        <f t="shared" si="13"/>
        <v>9</v>
      </c>
    </row>
    <row r="57" spans="1:15" x14ac:dyDescent="0.55000000000000004">
      <c r="A57" t="b">
        <f t="shared" si="1"/>
        <v>1</v>
      </c>
      <c r="B57">
        <f t="shared" si="2"/>
        <v>4</v>
      </c>
      <c r="C57" s="3" t="str">
        <f t="shared" si="3"/>
        <v>7:00 AM (UTC+7) — Indochina / Western Indonesia Time</v>
      </c>
      <c r="D57" s="3" t="str">
        <f t="shared" si="4"/>
        <v>UTC+7</v>
      </c>
      <c r="E57" t="str">
        <f t="shared" si="5"/>
        <v>UTC+7</v>
      </c>
      <c r="F57" t="str">
        <f t="shared" si="6"/>
        <v>UTC+7-4</v>
      </c>
      <c r="G57" s="2" t="s">
        <v>94</v>
      </c>
      <c r="H57" t="str">
        <f t="shared" si="7"/>
        <v xml:space="preserve">Hanoi, Vietnam [N] </v>
      </c>
      <c r="I57" t="str">
        <f t="shared" si="8"/>
        <v>3.6 million</v>
      </c>
      <c r="J57" t="str">
        <f t="shared" si="9"/>
        <v>N</v>
      </c>
      <c r="K57" t="str">
        <f t="shared" si="10"/>
        <v>Hanoi</v>
      </c>
      <c r="M57" t="str">
        <f t="shared" si="11"/>
        <v>N</v>
      </c>
      <c r="N57" t="str">
        <f t="shared" si="12"/>
        <v>Hanoi-N</v>
      </c>
      <c r="O57">
        <f t="shared" si="13"/>
        <v>7</v>
      </c>
    </row>
    <row r="58" spans="1:15" x14ac:dyDescent="0.55000000000000004">
      <c r="A58" t="b">
        <f t="shared" si="1"/>
        <v>1</v>
      </c>
      <c r="B58">
        <f t="shared" si="2"/>
        <v>5</v>
      </c>
      <c r="C58" s="3" t="str">
        <f t="shared" si="3"/>
        <v>7:00 AM (UTC+7) — Indochina / Western Indonesia Time</v>
      </c>
      <c r="D58" s="3" t="str">
        <f t="shared" si="4"/>
        <v>UTC+7</v>
      </c>
      <c r="E58" t="str">
        <f t="shared" si="5"/>
        <v>UTC+7</v>
      </c>
      <c r="F58" t="str">
        <f t="shared" si="6"/>
        <v>UTC+7-5</v>
      </c>
      <c r="G58" s="2" t="s">
        <v>95</v>
      </c>
      <c r="H58" t="str">
        <f t="shared" si="7"/>
        <v xml:space="preserve">Phnom Penh, Cambodia [N] </v>
      </c>
      <c r="I58" t="str">
        <f t="shared" si="8"/>
        <v>2.3 million</v>
      </c>
      <c r="J58" t="str">
        <f t="shared" si="9"/>
        <v>N</v>
      </c>
      <c r="K58" t="str">
        <f t="shared" si="10"/>
        <v>Phnom Penh</v>
      </c>
      <c r="M58" t="str">
        <f t="shared" si="11"/>
        <v>N</v>
      </c>
      <c r="N58" t="str">
        <f t="shared" si="12"/>
        <v>Phnom Penh-N</v>
      </c>
      <c r="O58">
        <f t="shared" si="13"/>
        <v>12</v>
      </c>
    </row>
    <row r="59" spans="1:15" x14ac:dyDescent="0.55000000000000004">
      <c r="A59" t="b">
        <f t="shared" si="1"/>
        <v>1</v>
      </c>
      <c r="B59">
        <f t="shared" si="2"/>
        <v>6</v>
      </c>
      <c r="C59" s="3" t="str">
        <f t="shared" si="3"/>
        <v>7:00 AM (UTC+7) — Indochina / Western Indonesia Time</v>
      </c>
      <c r="D59" s="3" t="str">
        <f t="shared" si="4"/>
        <v>UTC+7</v>
      </c>
      <c r="E59" t="str">
        <f t="shared" si="5"/>
        <v>UTC+7</v>
      </c>
      <c r="F59" t="str">
        <f t="shared" si="6"/>
        <v>UTC+7-6</v>
      </c>
      <c r="G59" s="2" t="s">
        <v>96</v>
      </c>
      <c r="H59" t="str">
        <f t="shared" si="7"/>
        <v xml:space="preserve">Krasnoyarsk, Russia [N] </v>
      </c>
      <c r="I59" t="str">
        <f t="shared" si="8"/>
        <v>1.2 million</v>
      </c>
      <c r="J59" t="str">
        <f t="shared" si="9"/>
        <v>N</v>
      </c>
      <c r="K59" t="str">
        <f t="shared" si="10"/>
        <v>Krasnoyarsk</v>
      </c>
      <c r="M59" t="str">
        <f t="shared" si="11"/>
        <v>N</v>
      </c>
      <c r="N59" t="str">
        <f t="shared" si="12"/>
        <v>Krasnoyarsk-N</v>
      </c>
      <c r="O59">
        <f t="shared" si="13"/>
        <v>13</v>
      </c>
    </row>
    <row r="60" spans="1:15" x14ac:dyDescent="0.55000000000000004">
      <c r="A60" t="b">
        <f t="shared" si="1"/>
        <v>0</v>
      </c>
      <c r="B60">
        <f t="shared" si="2"/>
        <v>0</v>
      </c>
      <c r="C60" s="3" t="str">
        <f t="shared" si="3"/>
        <v>8:00 AM (UTC+8) — China / Western Australia Time</v>
      </c>
      <c r="D60" s="3" t="str">
        <f t="shared" si="4"/>
        <v>UTC+8</v>
      </c>
      <c r="E60" t="str">
        <f t="shared" si="5"/>
        <v>UTC+8</v>
      </c>
      <c r="F60" t="str">
        <f t="shared" si="6"/>
        <v>UTC+8-0</v>
      </c>
      <c r="G60" s="1" t="s">
        <v>7</v>
      </c>
      <c r="H60" t="str">
        <f t="shared" si="7"/>
        <v xml:space="preserve">8:00 AM (UTC+8) </v>
      </c>
      <c r="I60" t="e">
        <f t="shared" si="8"/>
        <v>#N/A</v>
      </c>
      <c r="J60" t="e">
        <f t="shared" si="9"/>
        <v>#N/A</v>
      </c>
      <c r="K60" t="e">
        <f t="shared" si="10"/>
        <v>#N/A</v>
      </c>
      <c r="M60" t="e">
        <f t="shared" si="11"/>
        <v>#N/A</v>
      </c>
      <c r="N60" t="e">
        <f t="shared" si="12"/>
        <v>#N/A</v>
      </c>
      <c r="O60" t="e">
        <f t="shared" si="13"/>
        <v>#N/A</v>
      </c>
    </row>
    <row r="61" spans="1:15" x14ac:dyDescent="0.55000000000000004">
      <c r="A61" t="b">
        <f t="shared" si="1"/>
        <v>1</v>
      </c>
      <c r="B61">
        <f t="shared" si="2"/>
        <v>1</v>
      </c>
      <c r="C61" s="3" t="str">
        <f t="shared" si="3"/>
        <v>8:00 AM (UTC+8) — China / Western Australia Time</v>
      </c>
      <c r="D61" s="3" t="str">
        <f t="shared" si="4"/>
        <v>UTC+8</v>
      </c>
      <c r="E61" t="str">
        <f t="shared" si="5"/>
        <v>UTC+8</v>
      </c>
      <c r="F61" t="str">
        <f t="shared" si="6"/>
        <v>UTC+8-1</v>
      </c>
      <c r="G61" s="2" t="s">
        <v>97</v>
      </c>
      <c r="H61" t="str">
        <f t="shared" si="7"/>
        <v xml:space="preserve">Shanghai, China [N] </v>
      </c>
      <c r="I61" t="str">
        <f t="shared" si="8"/>
        <v>24.9 million</v>
      </c>
      <c r="J61" t="str">
        <f t="shared" si="9"/>
        <v>N</v>
      </c>
      <c r="K61" t="str">
        <f t="shared" si="10"/>
        <v>Shanghai</v>
      </c>
      <c r="M61" t="str">
        <f t="shared" si="11"/>
        <v>N</v>
      </c>
      <c r="N61" t="str">
        <f t="shared" si="12"/>
        <v>Shanghai-N</v>
      </c>
      <c r="O61">
        <f t="shared" si="13"/>
        <v>10</v>
      </c>
    </row>
    <row r="62" spans="1:15" x14ac:dyDescent="0.55000000000000004">
      <c r="A62" t="b">
        <f t="shared" si="1"/>
        <v>1</v>
      </c>
      <c r="B62">
        <f t="shared" si="2"/>
        <v>2</v>
      </c>
      <c r="C62" s="3" t="str">
        <f t="shared" si="3"/>
        <v>8:00 AM (UTC+8) — China / Western Australia Time</v>
      </c>
      <c r="D62" s="3" t="str">
        <f t="shared" si="4"/>
        <v>UTC+8</v>
      </c>
      <c r="E62" t="str">
        <f t="shared" si="5"/>
        <v>UTC+8</v>
      </c>
      <c r="F62" t="str">
        <f t="shared" si="6"/>
        <v>UTC+8-2</v>
      </c>
      <c r="G62" s="2" t="s">
        <v>98</v>
      </c>
      <c r="H62" t="str">
        <f t="shared" si="7"/>
        <v xml:space="preserve">Beijing, China [N] </v>
      </c>
      <c r="I62" t="str">
        <f t="shared" si="8"/>
        <v>21.8 million</v>
      </c>
      <c r="J62" t="str">
        <f t="shared" si="9"/>
        <v>N</v>
      </c>
      <c r="K62" t="str">
        <f t="shared" si="10"/>
        <v>Beijing</v>
      </c>
      <c r="M62" t="str">
        <f t="shared" si="11"/>
        <v>N</v>
      </c>
      <c r="N62" t="str">
        <f t="shared" si="12"/>
        <v>Beijing-N</v>
      </c>
      <c r="O62">
        <f t="shared" si="13"/>
        <v>9</v>
      </c>
    </row>
    <row r="63" spans="1:15" x14ac:dyDescent="0.55000000000000004">
      <c r="A63" t="b">
        <f t="shared" si="1"/>
        <v>1</v>
      </c>
      <c r="B63">
        <f t="shared" si="2"/>
        <v>3</v>
      </c>
      <c r="C63" s="3" t="str">
        <f t="shared" si="3"/>
        <v>8:00 AM (UTC+8) — China / Western Australia Time</v>
      </c>
      <c r="D63" s="3" t="str">
        <f t="shared" si="4"/>
        <v>UTC+8</v>
      </c>
      <c r="E63" t="str">
        <f t="shared" si="5"/>
        <v>UTC+8</v>
      </c>
      <c r="F63" t="str">
        <f t="shared" si="6"/>
        <v>UTC+8-3</v>
      </c>
      <c r="G63" s="2" t="s">
        <v>99</v>
      </c>
      <c r="H63" t="str">
        <f t="shared" si="7"/>
        <v xml:space="preserve">Guangzhou, China [N] </v>
      </c>
      <c r="I63" t="str">
        <f t="shared" si="8"/>
        <v>18.8 million</v>
      </c>
      <c r="J63" t="str">
        <f t="shared" si="9"/>
        <v>N</v>
      </c>
      <c r="K63" t="str">
        <f t="shared" si="10"/>
        <v>Guangzhou</v>
      </c>
      <c r="M63" t="str">
        <f t="shared" si="11"/>
        <v>N</v>
      </c>
      <c r="N63" t="str">
        <f t="shared" si="12"/>
        <v>Guangzhou-N</v>
      </c>
      <c r="O63">
        <f t="shared" si="13"/>
        <v>11</v>
      </c>
    </row>
    <row r="64" spans="1:15" x14ac:dyDescent="0.55000000000000004">
      <c r="A64" t="b">
        <f t="shared" si="1"/>
        <v>1</v>
      </c>
      <c r="B64">
        <f t="shared" si="2"/>
        <v>4</v>
      </c>
      <c r="C64" s="3" t="str">
        <f t="shared" si="3"/>
        <v>8:00 AM (UTC+8) — China / Western Australia Time</v>
      </c>
      <c r="D64" s="3" t="str">
        <f t="shared" si="4"/>
        <v>UTC+8</v>
      </c>
      <c r="E64" t="str">
        <f t="shared" si="5"/>
        <v>UTC+8</v>
      </c>
      <c r="F64" t="str">
        <f t="shared" si="6"/>
        <v>UTC+8-4</v>
      </c>
      <c r="G64" s="2" t="s">
        <v>100</v>
      </c>
      <c r="H64" t="str">
        <f t="shared" si="7"/>
        <v xml:space="preserve">Manila, Philippines [N] </v>
      </c>
      <c r="I64" t="str">
        <f t="shared" si="8"/>
        <v>1.8 million (Metro: ~13.5M)</v>
      </c>
      <c r="J64" t="str">
        <f t="shared" si="9"/>
        <v>N</v>
      </c>
      <c r="K64" t="str">
        <f t="shared" si="10"/>
        <v>Manila</v>
      </c>
      <c r="M64" t="str">
        <f t="shared" si="11"/>
        <v>N</v>
      </c>
      <c r="N64" t="str">
        <f t="shared" si="12"/>
        <v>Manila-N</v>
      </c>
      <c r="O64">
        <f t="shared" si="13"/>
        <v>8</v>
      </c>
    </row>
    <row r="65" spans="1:15" x14ac:dyDescent="0.55000000000000004">
      <c r="A65" t="b">
        <f t="shared" si="1"/>
        <v>1</v>
      </c>
      <c r="B65">
        <f t="shared" si="2"/>
        <v>5</v>
      </c>
      <c r="C65" s="3" t="str">
        <f t="shared" si="3"/>
        <v>8:00 AM (UTC+8) — China / Western Australia Time</v>
      </c>
      <c r="D65" s="3" t="str">
        <f t="shared" si="4"/>
        <v>UTC+8</v>
      </c>
      <c r="E65" t="str">
        <f t="shared" si="5"/>
        <v>UTC+8</v>
      </c>
      <c r="F65" t="str">
        <f t="shared" si="6"/>
        <v>UTC+8-5</v>
      </c>
      <c r="G65" s="2" t="s">
        <v>157</v>
      </c>
      <c r="H65" t="str">
        <f t="shared" si="7"/>
        <v xml:space="preserve">Bali, Indonesia [S] </v>
      </c>
      <c r="I65" t="str">
        <f t="shared" si="8"/>
        <v>670,000 (Metro: ~2.1M)</v>
      </c>
      <c r="J65" t="str">
        <f t="shared" si="9"/>
        <v>S</v>
      </c>
      <c r="K65" t="str">
        <f t="shared" si="10"/>
        <v>Bali</v>
      </c>
      <c r="M65" t="str">
        <f t="shared" si="11"/>
        <v>S</v>
      </c>
      <c r="N65" t="str">
        <f t="shared" si="12"/>
        <v>Bali-S</v>
      </c>
      <c r="O65">
        <f t="shared" si="13"/>
        <v>6</v>
      </c>
    </row>
    <row r="66" spans="1:15" x14ac:dyDescent="0.55000000000000004">
      <c r="A66" t="b">
        <f t="shared" si="1"/>
        <v>1</v>
      </c>
      <c r="B66">
        <f t="shared" si="2"/>
        <v>6</v>
      </c>
      <c r="C66" s="3" t="str">
        <f t="shared" si="3"/>
        <v>8:00 AM (UTC+8) — China / Western Australia Time</v>
      </c>
      <c r="D66" s="3" t="str">
        <f t="shared" si="4"/>
        <v>UTC+8</v>
      </c>
      <c r="E66" t="str">
        <f t="shared" si="5"/>
        <v>UTC+8</v>
      </c>
      <c r="F66" t="str">
        <f t="shared" si="6"/>
        <v>UTC+8-6</v>
      </c>
      <c r="G66" s="2" t="s">
        <v>101</v>
      </c>
      <c r="H66" t="str">
        <f t="shared" ref="H66:H129" si="14">_xlfn.TEXTBEFORE($G66,"—")</f>
        <v xml:space="preserve">Taipei, Taiwan [N] </v>
      </c>
      <c r="I66" t="str">
        <f t="shared" ref="I66:I129" si="15">_xlfn.TEXTAFTER($G66,"~")</f>
        <v>2.5 million</v>
      </c>
      <c r="J66" t="str">
        <f t="shared" si="9"/>
        <v>N</v>
      </c>
      <c r="K66" t="str">
        <f t="shared" si="10"/>
        <v>Taipei</v>
      </c>
      <c r="M66" t="str">
        <f t="shared" si="11"/>
        <v>N</v>
      </c>
      <c r="N66" t="str">
        <f t="shared" si="12"/>
        <v>Taipei-N</v>
      </c>
      <c r="O66">
        <f t="shared" si="13"/>
        <v>8</v>
      </c>
    </row>
    <row r="67" spans="1:15" x14ac:dyDescent="0.55000000000000004">
      <c r="A67" t="b">
        <f t="shared" ref="A67:A130" si="16">NOT(ISNUMBER(SEARCH("time",G67)))</f>
        <v>1</v>
      </c>
      <c r="B67">
        <f t="shared" ref="B67:B130" si="17">IF(A67=FALSE,0,IF(AND(A67,NOT(A66)),1,1+B66))</f>
        <v>7</v>
      </c>
      <c r="C67" s="3" t="str">
        <f t="shared" ref="C67:C130" si="18">IF(ISNUMBER(SEARCH("time",G67)),G67,C66)</f>
        <v>8:00 AM (UTC+8) — China / Western Australia Time</v>
      </c>
      <c r="D67" s="3" t="str">
        <f t="shared" ref="D67:D130" si="19">_xlfn.TEXTAFTER(_xlfn.TEXTBEFORE(C67,")"),"(")</f>
        <v>UTC+8</v>
      </c>
      <c r="E67" t="str">
        <f t="shared" ref="E67:E130" si="20">IFERROR(_xlfn.TEXTAFTER(D67," / "),D67)</f>
        <v>UTC+8</v>
      </c>
      <c r="F67" t="str">
        <f t="shared" ref="F67:F130" si="21">E67&amp;"-"&amp;B67</f>
        <v>UTC+8-7</v>
      </c>
      <c r="G67" s="2" t="s">
        <v>102</v>
      </c>
      <c r="H67" t="str">
        <f t="shared" si="14"/>
        <v xml:space="preserve">Singapore [N] </v>
      </c>
      <c r="I67" t="str">
        <f t="shared" si="15"/>
        <v>5.9 million</v>
      </c>
      <c r="J67" t="str">
        <f t="shared" ref="J67:J130" si="22">_xlfn.TEXTBEFORE(_xlfn.TEXTAFTER(G67,"["),"]")</f>
        <v>N</v>
      </c>
      <c r="K67" t="e">
        <f t="shared" ref="K67:K130" si="23">_xlfn.TEXTBEFORE(G67,",")</f>
        <v>#N/A</v>
      </c>
      <c r="M67" t="str">
        <f t="shared" si="11"/>
        <v>N</v>
      </c>
      <c r="N67" t="e">
        <f t="shared" si="12"/>
        <v>#N/A</v>
      </c>
      <c r="O67" t="e">
        <f t="shared" si="13"/>
        <v>#N/A</v>
      </c>
    </row>
    <row r="68" spans="1:15" x14ac:dyDescent="0.55000000000000004">
      <c r="A68" t="b">
        <f t="shared" si="16"/>
        <v>1</v>
      </c>
      <c r="B68">
        <f t="shared" si="17"/>
        <v>8</v>
      </c>
      <c r="C68" s="3" t="str">
        <f t="shared" si="18"/>
        <v>8:00 AM (UTC+8) — China / Western Australia Time</v>
      </c>
      <c r="D68" s="3" t="str">
        <f t="shared" si="19"/>
        <v>UTC+8</v>
      </c>
      <c r="E68" t="str">
        <f t="shared" si="20"/>
        <v>UTC+8</v>
      </c>
      <c r="F68" t="str">
        <f t="shared" si="21"/>
        <v>UTC+8-8</v>
      </c>
      <c r="G68" s="2" t="s">
        <v>103</v>
      </c>
      <c r="H68" t="str">
        <f t="shared" si="14"/>
        <v xml:space="preserve">Perth, Australia [S] </v>
      </c>
      <c r="I68" t="str">
        <f t="shared" si="15"/>
        <v>2.1 million</v>
      </c>
      <c r="J68" t="str">
        <f t="shared" si="22"/>
        <v>S</v>
      </c>
      <c r="K68" t="str">
        <f t="shared" si="23"/>
        <v>Perth</v>
      </c>
      <c r="M68" t="str">
        <f t="shared" ref="M68:M131" si="24">IF(L68&lt;&gt;"",L68,J68)</f>
        <v>S</v>
      </c>
      <c r="N68" t="str">
        <f t="shared" ref="N68:N131" si="25">K68&amp;"-"&amp;M68</f>
        <v>Perth-S</v>
      </c>
      <c r="O68">
        <f t="shared" ref="O68:O131" si="26">LEN(N68)</f>
        <v>7</v>
      </c>
    </row>
    <row r="69" spans="1:15" x14ac:dyDescent="0.55000000000000004">
      <c r="A69" t="b">
        <f t="shared" si="16"/>
        <v>0</v>
      </c>
      <c r="B69">
        <f t="shared" si="17"/>
        <v>0</v>
      </c>
      <c r="C69" s="3" t="str">
        <f t="shared" si="18"/>
        <v>9:00 AM (UTC+9) — Japan / Korea Standard Time</v>
      </c>
      <c r="D69" s="3" t="str">
        <f t="shared" si="19"/>
        <v>UTC+9</v>
      </c>
      <c r="E69" t="str">
        <f t="shared" si="20"/>
        <v>UTC+9</v>
      </c>
      <c r="F69" t="str">
        <f t="shared" si="21"/>
        <v>UTC+9-0</v>
      </c>
      <c r="G69" s="1" t="s">
        <v>8</v>
      </c>
      <c r="H69" t="str">
        <f t="shared" si="14"/>
        <v xml:space="preserve">9:00 AM (UTC+9) </v>
      </c>
      <c r="I69" t="e">
        <f t="shared" si="15"/>
        <v>#N/A</v>
      </c>
      <c r="J69" t="e">
        <f t="shared" si="22"/>
        <v>#N/A</v>
      </c>
      <c r="K69" t="e">
        <f t="shared" si="23"/>
        <v>#N/A</v>
      </c>
      <c r="M69" t="e">
        <f t="shared" si="24"/>
        <v>#N/A</v>
      </c>
      <c r="N69" t="e">
        <f t="shared" si="25"/>
        <v>#N/A</v>
      </c>
      <c r="O69" t="e">
        <f t="shared" si="26"/>
        <v>#N/A</v>
      </c>
    </row>
    <row r="70" spans="1:15" x14ac:dyDescent="0.55000000000000004">
      <c r="A70" t="b">
        <f t="shared" si="16"/>
        <v>1</v>
      </c>
      <c r="B70">
        <f t="shared" si="17"/>
        <v>1</v>
      </c>
      <c r="C70" s="3" t="str">
        <f t="shared" si="18"/>
        <v>9:00 AM (UTC+9) — Japan / Korea Standard Time</v>
      </c>
      <c r="D70" s="3" t="str">
        <f t="shared" si="19"/>
        <v>UTC+9</v>
      </c>
      <c r="E70" t="str">
        <f t="shared" si="20"/>
        <v>UTC+9</v>
      </c>
      <c r="F70" t="str">
        <f t="shared" si="21"/>
        <v>UTC+9-1</v>
      </c>
      <c r="G70" s="2" t="s">
        <v>104</v>
      </c>
      <c r="H70" t="str">
        <f t="shared" si="14"/>
        <v xml:space="preserve">Tokyo, Japan [N] </v>
      </c>
      <c r="I70" t="str">
        <f t="shared" si="15"/>
        <v>10.3 million (Metro: ~37M)</v>
      </c>
      <c r="J70" t="str">
        <f t="shared" si="22"/>
        <v>N</v>
      </c>
      <c r="K70" t="str">
        <f t="shared" si="23"/>
        <v>Tokyo</v>
      </c>
      <c r="M70" t="str">
        <f t="shared" si="24"/>
        <v>N</v>
      </c>
      <c r="N70" t="str">
        <f t="shared" si="25"/>
        <v>Tokyo-N</v>
      </c>
      <c r="O70">
        <f t="shared" si="26"/>
        <v>7</v>
      </c>
    </row>
    <row r="71" spans="1:15" x14ac:dyDescent="0.55000000000000004">
      <c r="A71" t="b">
        <f t="shared" si="16"/>
        <v>1</v>
      </c>
      <c r="B71">
        <f t="shared" si="17"/>
        <v>2</v>
      </c>
      <c r="C71" s="3" t="str">
        <f t="shared" si="18"/>
        <v>9:00 AM (UTC+9) — Japan / Korea Standard Time</v>
      </c>
      <c r="D71" s="3" t="str">
        <f t="shared" si="19"/>
        <v>UTC+9</v>
      </c>
      <c r="E71" t="str">
        <f t="shared" si="20"/>
        <v>UTC+9</v>
      </c>
      <c r="F71" t="str">
        <f t="shared" si="21"/>
        <v>UTC+9-2</v>
      </c>
      <c r="G71" s="2" t="s">
        <v>105</v>
      </c>
      <c r="H71" t="str">
        <f t="shared" si="14"/>
        <v xml:space="preserve">Seoul, South Korea [N] </v>
      </c>
      <c r="I71" t="str">
        <f t="shared" si="15"/>
        <v>9.4 million</v>
      </c>
      <c r="J71" t="str">
        <f t="shared" si="22"/>
        <v>N</v>
      </c>
      <c r="K71" t="str">
        <f t="shared" si="23"/>
        <v>Seoul</v>
      </c>
      <c r="M71" t="str">
        <f t="shared" si="24"/>
        <v>N</v>
      </c>
      <c r="N71" t="str">
        <f t="shared" si="25"/>
        <v>Seoul-N</v>
      </c>
      <c r="O71">
        <f t="shared" si="26"/>
        <v>7</v>
      </c>
    </row>
    <row r="72" spans="1:15" x14ac:dyDescent="0.55000000000000004">
      <c r="A72" t="b">
        <f t="shared" si="16"/>
        <v>1</v>
      </c>
      <c r="B72">
        <f t="shared" si="17"/>
        <v>3</v>
      </c>
      <c r="C72" s="3" t="str">
        <f t="shared" si="18"/>
        <v>9:00 AM (UTC+9) — Japan / Korea Standard Time</v>
      </c>
      <c r="D72" s="3" t="str">
        <f t="shared" si="19"/>
        <v>UTC+9</v>
      </c>
      <c r="E72" t="str">
        <f t="shared" si="20"/>
        <v>UTC+9</v>
      </c>
      <c r="F72" t="str">
        <f t="shared" si="21"/>
        <v>UTC+9-3</v>
      </c>
      <c r="G72" s="2" t="s">
        <v>106</v>
      </c>
      <c r="H72" t="str">
        <f t="shared" si="14"/>
        <v xml:space="preserve">Busan, South Korea [N] </v>
      </c>
      <c r="I72" t="str">
        <f t="shared" si="15"/>
        <v>3.3 million</v>
      </c>
      <c r="J72" t="str">
        <f t="shared" si="22"/>
        <v>N</v>
      </c>
      <c r="K72" t="str">
        <f t="shared" si="23"/>
        <v>Busan</v>
      </c>
      <c r="M72" t="str">
        <f t="shared" si="24"/>
        <v>N</v>
      </c>
      <c r="N72" t="str">
        <f t="shared" si="25"/>
        <v>Busan-N</v>
      </c>
      <c r="O72">
        <f t="shared" si="26"/>
        <v>7</v>
      </c>
    </row>
    <row r="73" spans="1:15" x14ac:dyDescent="0.55000000000000004">
      <c r="A73" t="b">
        <f t="shared" si="16"/>
        <v>1</v>
      </c>
      <c r="B73">
        <f t="shared" si="17"/>
        <v>4</v>
      </c>
      <c r="C73" s="3" t="str">
        <f t="shared" si="18"/>
        <v>9:00 AM (UTC+9) — Japan / Korea Standard Time</v>
      </c>
      <c r="D73" s="3" t="str">
        <f t="shared" si="19"/>
        <v>UTC+9</v>
      </c>
      <c r="E73" t="str">
        <f t="shared" si="20"/>
        <v>UTC+9</v>
      </c>
      <c r="F73" t="str">
        <f t="shared" si="21"/>
        <v>UTC+9-4</v>
      </c>
      <c r="G73" s="2" t="s">
        <v>107</v>
      </c>
      <c r="H73" t="str">
        <f t="shared" si="14"/>
        <v xml:space="preserve">Pyongyang, North Korea [N] </v>
      </c>
      <c r="I73" t="str">
        <f t="shared" si="15"/>
        <v>3.1 million</v>
      </c>
      <c r="J73" t="str">
        <f t="shared" si="22"/>
        <v>N</v>
      </c>
      <c r="K73" t="str">
        <f t="shared" si="23"/>
        <v>Pyongyang</v>
      </c>
      <c r="M73" t="str">
        <f t="shared" si="24"/>
        <v>N</v>
      </c>
      <c r="N73" t="str">
        <f t="shared" si="25"/>
        <v>Pyongyang-N</v>
      </c>
      <c r="O73">
        <f t="shared" si="26"/>
        <v>11</v>
      </c>
    </row>
    <row r="74" spans="1:15" x14ac:dyDescent="0.55000000000000004">
      <c r="A74" t="b">
        <f t="shared" si="16"/>
        <v>1</v>
      </c>
      <c r="B74">
        <f t="shared" si="17"/>
        <v>5</v>
      </c>
      <c r="C74" s="3" t="str">
        <f t="shared" si="18"/>
        <v>9:00 AM (UTC+9) — Japan / Korea Standard Time</v>
      </c>
      <c r="D74" s="3" t="str">
        <f t="shared" si="19"/>
        <v>UTC+9</v>
      </c>
      <c r="E74" t="str">
        <f t="shared" si="20"/>
        <v>UTC+9</v>
      </c>
      <c r="F74" t="str">
        <f t="shared" si="21"/>
        <v>UTC+9-5</v>
      </c>
      <c r="G74" s="2" t="s">
        <v>108</v>
      </c>
      <c r="H74" t="str">
        <f t="shared" si="14"/>
        <v xml:space="preserve">Osaka, Japan [N] </v>
      </c>
      <c r="I74" t="str">
        <f t="shared" si="15"/>
        <v>2.8 million</v>
      </c>
      <c r="J74" t="str">
        <f t="shared" si="22"/>
        <v>N</v>
      </c>
      <c r="K74" t="str">
        <f t="shared" si="23"/>
        <v>Osaka</v>
      </c>
      <c r="M74" t="str">
        <f t="shared" si="24"/>
        <v>N</v>
      </c>
      <c r="N74" t="str">
        <f t="shared" si="25"/>
        <v>Osaka-N</v>
      </c>
      <c r="O74">
        <f t="shared" si="26"/>
        <v>7</v>
      </c>
    </row>
    <row r="75" spans="1:15" x14ac:dyDescent="0.55000000000000004">
      <c r="A75" t="b">
        <f t="shared" si="16"/>
        <v>0</v>
      </c>
      <c r="B75">
        <f t="shared" si="17"/>
        <v>0</v>
      </c>
      <c r="C75" s="3" t="str">
        <f t="shared" si="18"/>
        <v>10:00 AM (UTC+10) — Australian Eastern / Vladivostok Time</v>
      </c>
      <c r="D75" s="3" t="str">
        <f t="shared" si="19"/>
        <v>UTC+10</v>
      </c>
      <c r="E75" t="str">
        <f t="shared" si="20"/>
        <v>UTC+10</v>
      </c>
      <c r="F75" t="str">
        <f t="shared" si="21"/>
        <v>UTC+10-0</v>
      </c>
      <c r="G75" s="1" t="s">
        <v>9</v>
      </c>
      <c r="H75" t="str">
        <f t="shared" si="14"/>
        <v xml:space="preserve">10:00 AM (UTC+10) </v>
      </c>
      <c r="I75" t="e">
        <f t="shared" si="15"/>
        <v>#N/A</v>
      </c>
      <c r="J75" t="e">
        <f t="shared" si="22"/>
        <v>#N/A</v>
      </c>
      <c r="K75" t="e">
        <f t="shared" si="23"/>
        <v>#N/A</v>
      </c>
      <c r="M75" t="e">
        <f t="shared" si="24"/>
        <v>#N/A</v>
      </c>
      <c r="N75" t="e">
        <f t="shared" si="25"/>
        <v>#N/A</v>
      </c>
      <c r="O75" t="e">
        <f t="shared" si="26"/>
        <v>#N/A</v>
      </c>
    </row>
    <row r="76" spans="1:15" x14ac:dyDescent="0.55000000000000004">
      <c r="A76" t="b">
        <f t="shared" si="16"/>
        <v>1</v>
      </c>
      <c r="B76">
        <f t="shared" si="17"/>
        <v>1</v>
      </c>
      <c r="C76" s="3" t="str">
        <f t="shared" si="18"/>
        <v>10:00 AM (UTC+10) — Australian Eastern / Vladivostok Time</v>
      </c>
      <c r="D76" s="3" t="str">
        <f t="shared" si="19"/>
        <v>UTC+10</v>
      </c>
      <c r="E76" t="str">
        <f t="shared" si="20"/>
        <v>UTC+10</v>
      </c>
      <c r="F76" t="str">
        <f t="shared" si="21"/>
        <v>UTC+10-1</v>
      </c>
      <c r="G76" s="2" t="s">
        <v>109</v>
      </c>
      <c r="H76" t="str">
        <f t="shared" si="14"/>
        <v xml:space="preserve">Sydney, Australia [S] </v>
      </c>
      <c r="I76" t="str">
        <f t="shared" si="15"/>
        <v>5.3 million</v>
      </c>
      <c r="J76" t="str">
        <f t="shared" si="22"/>
        <v>S</v>
      </c>
      <c r="K76" t="str">
        <f t="shared" si="23"/>
        <v>Sydney</v>
      </c>
      <c r="M76" t="str">
        <f t="shared" si="24"/>
        <v>S</v>
      </c>
      <c r="N76" t="str">
        <f t="shared" si="25"/>
        <v>Sydney-S</v>
      </c>
      <c r="O76">
        <f t="shared" si="26"/>
        <v>8</v>
      </c>
    </row>
    <row r="77" spans="1:15" x14ac:dyDescent="0.55000000000000004">
      <c r="A77" t="b">
        <f t="shared" si="16"/>
        <v>1</v>
      </c>
      <c r="B77">
        <f t="shared" si="17"/>
        <v>2</v>
      </c>
      <c r="C77" s="3" t="str">
        <f t="shared" si="18"/>
        <v>10:00 AM (UTC+10) — Australian Eastern / Vladivostok Time</v>
      </c>
      <c r="D77" s="3" t="str">
        <f t="shared" si="19"/>
        <v>UTC+10</v>
      </c>
      <c r="E77" t="str">
        <f t="shared" si="20"/>
        <v>UTC+10</v>
      </c>
      <c r="F77" t="str">
        <f t="shared" si="21"/>
        <v>UTC+10-2</v>
      </c>
      <c r="G77" s="2" t="s">
        <v>110</v>
      </c>
      <c r="H77" t="str">
        <f t="shared" si="14"/>
        <v xml:space="preserve">Melbourne, Australia [S] </v>
      </c>
      <c r="I77" t="str">
        <f t="shared" si="15"/>
        <v>5.0 million</v>
      </c>
      <c r="J77" t="str">
        <f t="shared" si="22"/>
        <v>S</v>
      </c>
      <c r="K77" t="str">
        <f t="shared" si="23"/>
        <v>Melbourne</v>
      </c>
      <c r="M77" t="str">
        <f t="shared" si="24"/>
        <v>S</v>
      </c>
      <c r="N77" t="str">
        <f t="shared" si="25"/>
        <v>Melbourne-S</v>
      </c>
      <c r="O77">
        <f t="shared" si="26"/>
        <v>11</v>
      </c>
    </row>
    <row r="78" spans="1:15" x14ac:dyDescent="0.55000000000000004">
      <c r="A78" t="b">
        <f t="shared" si="16"/>
        <v>1</v>
      </c>
      <c r="B78">
        <f t="shared" si="17"/>
        <v>3</v>
      </c>
      <c r="C78" s="3" t="str">
        <f t="shared" si="18"/>
        <v>10:00 AM (UTC+10) — Australian Eastern / Vladivostok Time</v>
      </c>
      <c r="D78" s="3" t="str">
        <f t="shared" si="19"/>
        <v>UTC+10</v>
      </c>
      <c r="E78" t="str">
        <f t="shared" si="20"/>
        <v>UTC+10</v>
      </c>
      <c r="F78" t="str">
        <f t="shared" si="21"/>
        <v>UTC+10-3</v>
      </c>
      <c r="G78" s="2" t="s">
        <v>111</v>
      </c>
      <c r="H78" t="str">
        <f t="shared" si="14"/>
        <v xml:space="preserve">Brisbane, Australia [S] </v>
      </c>
      <c r="I78" t="str">
        <f t="shared" si="15"/>
        <v>2.6 million</v>
      </c>
      <c r="J78" t="str">
        <f t="shared" si="22"/>
        <v>S</v>
      </c>
      <c r="K78" t="str">
        <f t="shared" si="23"/>
        <v>Brisbane</v>
      </c>
      <c r="M78" t="str">
        <f t="shared" si="24"/>
        <v>S</v>
      </c>
      <c r="N78" t="str">
        <f t="shared" si="25"/>
        <v>Brisbane-S</v>
      </c>
      <c r="O78">
        <f t="shared" si="26"/>
        <v>10</v>
      </c>
    </row>
    <row r="79" spans="1:15" x14ac:dyDescent="0.55000000000000004">
      <c r="A79" t="b">
        <f t="shared" si="16"/>
        <v>1</v>
      </c>
      <c r="B79">
        <f t="shared" si="17"/>
        <v>4</v>
      </c>
      <c r="C79" s="3" t="str">
        <f t="shared" si="18"/>
        <v>10:00 AM (UTC+10) — Australian Eastern / Vladivostok Time</v>
      </c>
      <c r="D79" s="3" t="str">
        <f t="shared" si="19"/>
        <v>UTC+10</v>
      </c>
      <c r="E79" t="str">
        <f t="shared" si="20"/>
        <v>UTC+10</v>
      </c>
      <c r="F79" t="str">
        <f t="shared" si="21"/>
        <v>UTC+10-4</v>
      </c>
      <c r="G79" s="2" t="s">
        <v>112</v>
      </c>
      <c r="H79" t="str">
        <f t="shared" si="14"/>
        <v xml:space="preserve">Vladivostok, Russia [N] </v>
      </c>
      <c r="I79" t="str">
        <f t="shared" si="15"/>
        <v>600,000</v>
      </c>
      <c r="J79" t="str">
        <f t="shared" si="22"/>
        <v>N</v>
      </c>
      <c r="K79" t="str">
        <f t="shared" si="23"/>
        <v>Vladivostok</v>
      </c>
      <c r="M79" t="str">
        <f t="shared" si="24"/>
        <v>N</v>
      </c>
      <c r="N79" t="str">
        <f t="shared" si="25"/>
        <v>Vladivostok-N</v>
      </c>
      <c r="O79">
        <f t="shared" si="26"/>
        <v>13</v>
      </c>
    </row>
    <row r="80" spans="1:15" x14ac:dyDescent="0.55000000000000004">
      <c r="A80" t="b">
        <f t="shared" si="16"/>
        <v>1</v>
      </c>
      <c r="B80">
        <f t="shared" si="17"/>
        <v>5</v>
      </c>
      <c r="C80" s="3" t="str">
        <f t="shared" si="18"/>
        <v>10:00 AM (UTC+10) — Australian Eastern / Vladivostok Time</v>
      </c>
      <c r="D80" s="3" t="str">
        <f t="shared" si="19"/>
        <v>UTC+10</v>
      </c>
      <c r="E80" t="str">
        <f t="shared" si="20"/>
        <v>UTC+10</v>
      </c>
      <c r="F80" t="str">
        <f t="shared" si="21"/>
        <v>UTC+10-5</v>
      </c>
      <c r="G80" s="2" t="s">
        <v>113</v>
      </c>
      <c r="H80" t="str">
        <f t="shared" si="14"/>
        <v xml:space="preserve">Port Moresby, Papua New Guinea [S] </v>
      </c>
      <c r="I80" t="str">
        <f t="shared" si="15"/>
        <v>380,000</v>
      </c>
      <c r="J80" t="str">
        <f t="shared" si="22"/>
        <v>S</v>
      </c>
      <c r="K80" t="str">
        <f t="shared" si="23"/>
        <v>Port Moresby</v>
      </c>
      <c r="M80" t="str">
        <f t="shared" si="24"/>
        <v>S</v>
      </c>
      <c r="N80" t="str">
        <f t="shared" si="25"/>
        <v>Port Moresby-S</v>
      </c>
      <c r="O80">
        <f t="shared" si="26"/>
        <v>14</v>
      </c>
    </row>
    <row r="81" spans="1:15" x14ac:dyDescent="0.55000000000000004">
      <c r="A81" t="b">
        <f t="shared" si="16"/>
        <v>0</v>
      </c>
      <c r="B81">
        <f t="shared" si="17"/>
        <v>0</v>
      </c>
      <c r="C81" s="3" t="str">
        <f t="shared" si="18"/>
        <v>11:00 AM (UTC+11) — Solomon Islands / Magadan Time</v>
      </c>
      <c r="D81" s="3" t="str">
        <f t="shared" si="19"/>
        <v>UTC+11</v>
      </c>
      <c r="E81" t="str">
        <f t="shared" si="20"/>
        <v>UTC+11</v>
      </c>
      <c r="F81" t="str">
        <f t="shared" si="21"/>
        <v>UTC+11-0</v>
      </c>
      <c r="G81" s="1" t="s">
        <v>10</v>
      </c>
      <c r="H81" t="str">
        <f t="shared" si="14"/>
        <v xml:space="preserve">11:00 AM (UTC+11) </v>
      </c>
      <c r="I81" t="e">
        <f t="shared" si="15"/>
        <v>#N/A</v>
      </c>
      <c r="J81" t="e">
        <f t="shared" si="22"/>
        <v>#N/A</v>
      </c>
      <c r="K81" t="e">
        <f t="shared" si="23"/>
        <v>#N/A</v>
      </c>
      <c r="M81" t="e">
        <f t="shared" si="24"/>
        <v>#N/A</v>
      </c>
      <c r="N81" t="e">
        <f t="shared" si="25"/>
        <v>#N/A</v>
      </c>
      <c r="O81" t="e">
        <f t="shared" si="26"/>
        <v>#N/A</v>
      </c>
    </row>
    <row r="82" spans="1:15" x14ac:dyDescent="0.55000000000000004">
      <c r="A82" t="b">
        <f t="shared" si="16"/>
        <v>1</v>
      </c>
      <c r="B82">
        <f t="shared" si="17"/>
        <v>1</v>
      </c>
      <c r="C82" s="3" t="str">
        <f t="shared" si="18"/>
        <v>11:00 AM (UTC+11) — Solomon Islands / Magadan Time</v>
      </c>
      <c r="D82" s="3" t="str">
        <f t="shared" si="19"/>
        <v>UTC+11</v>
      </c>
      <c r="E82" t="str">
        <f t="shared" si="20"/>
        <v>UTC+11</v>
      </c>
      <c r="F82" t="str">
        <f t="shared" si="21"/>
        <v>UTC+11-1</v>
      </c>
      <c r="G82" s="2" t="s">
        <v>114</v>
      </c>
      <c r="H82" t="str">
        <f t="shared" si="14"/>
        <v xml:space="preserve">Nouméa, New Caledonia [S] </v>
      </c>
      <c r="I82" t="str">
        <f t="shared" si="15"/>
        <v>94,000 (Urban area ~180,000)</v>
      </c>
      <c r="J82" t="str">
        <f t="shared" si="22"/>
        <v>S</v>
      </c>
      <c r="K82" t="str">
        <f t="shared" si="23"/>
        <v>Nouméa</v>
      </c>
      <c r="M82" t="str">
        <f t="shared" si="24"/>
        <v>S</v>
      </c>
      <c r="N82" t="str">
        <f t="shared" si="25"/>
        <v>Nouméa-S</v>
      </c>
      <c r="O82">
        <f t="shared" si="26"/>
        <v>8</v>
      </c>
    </row>
    <row r="83" spans="1:15" x14ac:dyDescent="0.55000000000000004">
      <c r="A83" t="b">
        <f t="shared" si="16"/>
        <v>1</v>
      </c>
      <c r="B83">
        <f t="shared" si="17"/>
        <v>2</v>
      </c>
      <c r="C83" s="3" t="str">
        <f t="shared" si="18"/>
        <v>11:00 AM (UTC+11) — Solomon Islands / Magadan Time</v>
      </c>
      <c r="D83" s="3" t="str">
        <f t="shared" si="19"/>
        <v>UTC+11</v>
      </c>
      <c r="E83" t="str">
        <f t="shared" si="20"/>
        <v>UTC+11</v>
      </c>
      <c r="F83" t="str">
        <f t="shared" si="21"/>
        <v>UTC+11-2</v>
      </c>
      <c r="G83" s="2" t="s">
        <v>115</v>
      </c>
      <c r="H83" t="str">
        <f t="shared" si="14"/>
        <v xml:space="preserve">Honiara, Solomon Islands [S] </v>
      </c>
      <c r="I83" t="str">
        <f t="shared" si="15"/>
        <v>90,000</v>
      </c>
      <c r="J83" t="str">
        <f t="shared" si="22"/>
        <v>S</v>
      </c>
      <c r="K83" t="str">
        <f t="shared" si="23"/>
        <v>Honiara</v>
      </c>
      <c r="M83" t="str">
        <f t="shared" si="24"/>
        <v>S</v>
      </c>
      <c r="N83" t="str">
        <f t="shared" si="25"/>
        <v>Honiara-S</v>
      </c>
      <c r="O83">
        <f t="shared" si="26"/>
        <v>9</v>
      </c>
    </row>
    <row r="84" spans="1:15" x14ac:dyDescent="0.55000000000000004">
      <c r="A84" t="b">
        <f t="shared" si="16"/>
        <v>1</v>
      </c>
      <c r="B84">
        <f t="shared" si="17"/>
        <v>3</v>
      </c>
      <c r="C84" s="3" t="str">
        <f t="shared" si="18"/>
        <v>11:00 AM (UTC+11) — Solomon Islands / Magadan Time</v>
      </c>
      <c r="D84" s="3" t="str">
        <f t="shared" si="19"/>
        <v>UTC+11</v>
      </c>
      <c r="E84" t="str">
        <f t="shared" si="20"/>
        <v>UTC+11</v>
      </c>
      <c r="F84" t="str">
        <f t="shared" si="21"/>
        <v>UTC+11-3</v>
      </c>
      <c r="G84" s="2" t="s">
        <v>116</v>
      </c>
      <c r="H84" t="str">
        <f t="shared" si="14"/>
        <v xml:space="preserve">Magadan, Russia [N] </v>
      </c>
      <c r="I84" t="str">
        <f t="shared" si="15"/>
        <v>90,000 (Note: Very few urban centers exist in UTC+11 that exceed 250,000 residents).</v>
      </c>
      <c r="J84" t="str">
        <f t="shared" si="22"/>
        <v>N</v>
      </c>
      <c r="K84" t="str">
        <f t="shared" si="23"/>
        <v>Magadan</v>
      </c>
      <c r="M84" t="str">
        <f t="shared" si="24"/>
        <v>N</v>
      </c>
      <c r="N84" t="str">
        <f t="shared" si="25"/>
        <v>Magadan-N</v>
      </c>
      <c r="O84">
        <f t="shared" si="26"/>
        <v>9</v>
      </c>
    </row>
    <row r="85" spans="1:15" x14ac:dyDescent="0.55000000000000004">
      <c r="A85" t="b">
        <f t="shared" si="16"/>
        <v>0</v>
      </c>
      <c r="B85">
        <f t="shared" si="17"/>
        <v>0</v>
      </c>
      <c r="C85" s="3" t="str">
        <f t="shared" si="18"/>
        <v>12:00 PM (12:00 / UTC+12) — Fiji / New Zealand Standard Time</v>
      </c>
      <c r="D85" s="3" t="str">
        <f t="shared" si="19"/>
        <v>12:00 / UTC+12</v>
      </c>
      <c r="E85" t="str">
        <f t="shared" si="20"/>
        <v>UTC+12</v>
      </c>
      <c r="F85" t="str">
        <f t="shared" si="21"/>
        <v>UTC+12-0</v>
      </c>
      <c r="G85" s="1" t="s">
        <v>11</v>
      </c>
      <c r="H85" t="str">
        <f t="shared" si="14"/>
        <v xml:space="preserve">12:00 PM (12:00 / UTC+12) </v>
      </c>
      <c r="I85" t="e">
        <f t="shared" si="15"/>
        <v>#N/A</v>
      </c>
      <c r="J85" t="e">
        <f t="shared" si="22"/>
        <v>#N/A</v>
      </c>
      <c r="K85" t="e">
        <f t="shared" si="23"/>
        <v>#N/A</v>
      </c>
      <c r="M85" t="e">
        <f t="shared" si="24"/>
        <v>#N/A</v>
      </c>
      <c r="N85" t="e">
        <f t="shared" si="25"/>
        <v>#N/A</v>
      </c>
      <c r="O85" t="e">
        <f t="shared" si="26"/>
        <v>#N/A</v>
      </c>
    </row>
    <row r="86" spans="1:15" x14ac:dyDescent="0.55000000000000004">
      <c r="A86" t="b">
        <f t="shared" si="16"/>
        <v>1</v>
      </c>
      <c r="B86">
        <f t="shared" si="17"/>
        <v>1</v>
      </c>
      <c r="C86" s="3" t="str">
        <f t="shared" si="18"/>
        <v>12:00 PM (12:00 / UTC+12) — Fiji / New Zealand Standard Time</v>
      </c>
      <c r="D86" s="3" t="str">
        <f t="shared" si="19"/>
        <v>12:00 / UTC+12</v>
      </c>
      <c r="E86" t="str">
        <f t="shared" si="20"/>
        <v>UTC+12</v>
      </c>
      <c r="F86" t="str">
        <f t="shared" si="21"/>
        <v>UTC+12-1</v>
      </c>
      <c r="G86" s="2" t="s">
        <v>117</v>
      </c>
      <c r="H86" t="str">
        <f t="shared" si="14"/>
        <v xml:space="preserve">Auckland, New Zealand [S] </v>
      </c>
      <c r="I86" t="str">
        <f t="shared" si="15"/>
        <v>1.7 million</v>
      </c>
      <c r="J86" t="str">
        <f t="shared" si="22"/>
        <v>S</v>
      </c>
      <c r="K86" t="str">
        <f t="shared" si="23"/>
        <v>Auckland</v>
      </c>
      <c r="M86" t="str">
        <f t="shared" si="24"/>
        <v>S</v>
      </c>
      <c r="N86" t="str">
        <f t="shared" si="25"/>
        <v>Auckland-S</v>
      </c>
      <c r="O86">
        <f t="shared" si="26"/>
        <v>10</v>
      </c>
    </row>
    <row r="87" spans="1:15" x14ac:dyDescent="0.55000000000000004">
      <c r="A87" t="b">
        <f t="shared" si="16"/>
        <v>1</v>
      </c>
      <c r="B87">
        <f t="shared" si="17"/>
        <v>2</v>
      </c>
      <c r="C87" s="3" t="str">
        <f t="shared" si="18"/>
        <v>12:00 PM (12:00 / UTC+12) — Fiji / New Zealand Standard Time</v>
      </c>
      <c r="D87" s="3" t="str">
        <f t="shared" si="19"/>
        <v>12:00 / UTC+12</v>
      </c>
      <c r="E87" t="str">
        <f t="shared" si="20"/>
        <v>UTC+12</v>
      </c>
      <c r="F87" t="str">
        <f t="shared" si="21"/>
        <v>UTC+12-2</v>
      </c>
      <c r="G87" s="2" t="s">
        <v>118</v>
      </c>
      <c r="H87" t="str">
        <f t="shared" si="14"/>
        <v xml:space="preserve">Wellington, New Zealand [S] </v>
      </c>
      <c r="I87" t="str">
        <f t="shared" si="15"/>
        <v>420,000</v>
      </c>
      <c r="J87" t="str">
        <f t="shared" si="22"/>
        <v>S</v>
      </c>
      <c r="K87" t="str">
        <f t="shared" si="23"/>
        <v>Wellington</v>
      </c>
      <c r="M87" t="str">
        <f t="shared" si="24"/>
        <v>S</v>
      </c>
      <c r="N87" t="str">
        <f t="shared" si="25"/>
        <v>Wellington-S</v>
      </c>
      <c r="O87">
        <f t="shared" si="26"/>
        <v>12</v>
      </c>
    </row>
    <row r="88" spans="1:15" x14ac:dyDescent="0.55000000000000004">
      <c r="A88" t="b">
        <f t="shared" si="16"/>
        <v>1</v>
      </c>
      <c r="B88">
        <f t="shared" si="17"/>
        <v>3</v>
      </c>
      <c r="C88" s="3" t="str">
        <f t="shared" si="18"/>
        <v>12:00 PM (12:00 / UTC+12) — Fiji / New Zealand Standard Time</v>
      </c>
      <c r="D88" s="3" t="str">
        <f t="shared" si="19"/>
        <v>12:00 / UTC+12</v>
      </c>
      <c r="E88" t="str">
        <f t="shared" si="20"/>
        <v>UTC+12</v>
      </c>
      <c r="F88" t="str">
        <f t="shared" si="21"/>
        <v>UTC+12-3</v>
      </c>
      <c r="G88" s="2" t="s">
        <v>119</v>
      </c>
      <c r="H88" t="str">
        <f t="shared" si="14"/>
        <v xml:space="preserve">Suva, Fiji [S] </v>
      </c>
      <c r="I88" t="str">
        <f t="shared" si="15"/>
        <v>94,000 (Urban area ~180,000)</v>
      </c>
      <c r="J88" t="str">
        <f t="shared" si="22"/>
        <v>S</v>
      </c>
      <c r="K88" t="str">
        <f t="shared" si="23"/>
        <v>Suva</v>
      </c>
      <c r="M88" t="str">
        <f t="shared" si="24"/>
        <v>S</v>
      </c>
      <c r="N88" t="str">
        <f t="shared" si="25"/>
        <v>Suva-S</v>
      </c>
      <c r="O88">
        <f t="shared" si="26"/>
        <v>6</v>
      </c>
    </row>
    <row r="89" spans="1:15" x14ac:dyDescent="0.55000000000000004">
      <c r="A89" t="b">
        <f t="shared" si="16"/>
        <v>0</v>
      </c>
      <c r="B89">
        <f t="shared" si="17"/>
        <v>0</v>
      </c>
      <c r="C89" s="3" t="str">
        <f t="shared" si="18"/>
        <v>1:00 PM (13:00 / UTC-11) — Samoa / Niue Standard Time</v>
      </c>
      <c r="D89" s="3" t="str">
        <f t="shared" si="19"/>
        <v>13:00 / UTC-11</v>
      </c>
      <c r="E89" t="str">
        <f t="shared" si="20"/>
        <v>UTC-11</v>
      </c>
      <c r="F89" t="str">
        <f t="shared" si="21"/>
        <v>UTC-11-0</v>
      </c>
      <c r="G89" s="1" t="s">
        <v>12</v>
      </c>
      <c r="H89" t="str">
        <f t="shared" si="14"/>
        <v xml:space="preserve">1:00 PM (13:00 / UTC-11) </v>
      </c>
      <c r="I89" t="e">
        <f t="shared" si="15"/>
        <v>#N/A</v>
      </c>
      <c r="J89" t="e">
        <f t="shared" si="22"/>
        <v>#N/A</v>
      </c>
      <c r="K89" t="e">
        <f t="shared" si="23"/>
        <v>#N/A</v>
      </c>
      <c r="M89" t="e">
        <f t="shared" si="24"/>
        <v>#N/A</v>
      </c>
      <c r="N89" t="e">
        <f t="shared" si="25"/>
        <v>#N/A</v>
      </c>
      <c r="O89" t="e">
        <f t="shared" si="26"/>
        <v>#N/A</v>
      </c>
    </row>
    <row r="90" spans="1:15" x14ac:dyDescent="0.55000000000000004">
      <c r="A90" t="b">
        <f t="shared" si="16"/>
        <v>1</v>
      </c>
      <c r="B90">
        <f t="shared" si="17"/>
        <v>1</v>
      </c>
      <c r="C90" s="3" t="str">
        <f t="shared" si="18"/>
        <v>1:00 PM (13:00 / UTC-11) — Samoa / Niue Standard Time</v>
      </c>
      <c r="D90" s="3" t="str">
        <f t="shared" si="19"/>
        <v>13:00 / UTC-11</v>
      </c>
      <c r="E90" t="str">
        <f t="shared" si="20"/>
        <v>UTC-11</v>
      </c>
      <c r="F90" t="str">
        <f t="shared" si="21"/>
        <v>UTC-11-1</v>
      </c>
      <c r="G90" s="2" t="s">
        <v>120</v>
      </c>
      <c r="H90" t="str">
        <f t="shared" si="14"/>
        <v xml:space="preserve">Pago Pago, American Samoa [S] </v>
      </c>
      <c r="I90" t="str">
        <f t="shared" si="15"/>
        <v>8,000 (Note: Spans remote Pacific islands; no cities exceed 250,000 inhabitants).</v>
      </c>
      <c r="J90" t="str">
        <f t="shared" si="22"/>
        <v>S</v>
      </c>
      <c r="K90" t="str">
        <f t="shared" si="23"/>
        <v>Pago Pago</v>
      </c>
      <c r="M90" t="str">
        <f t="shared" si="24"/>
        <v>S</v>
      </c>
      <c r="N90" t="str">
        <f t="shared" si="25"/>
        <v>Pago Pago-S</v>
      </c>
      <c r="O90">
        <f t="shared" si="26"/>
        <v>11</v>
      </c>
    </row>
    <row r="91" spans="1:15" x14ac:dyDescent="0.55000000000000004">
      <c r="A91" t="b">
        <f t="shared" si="16"/>
        <v>0</v>
      </c>
      <c r="B91">
        <f t="shared" si="17"/>
        <v>0</v>
      </c>
      <c r="C91" s="3" t="str">
        <f t="shared" si="18"/>
        <v>2:00 PM (14:00 / UTC-10) — Hawaii-Aleutian Standard Time</v>
      </c>
      <c r="D91" s="3" t="str">
        <f t="shared" si="19"/>
        <v>14:00 / UTC-10</v>
      </c>
      <c r="E91" t="str">
        <f t="shared" si="20"/>
        <v>UTC-10</v>
      </c>
      <c r="F91" t="str">
        <f t="shared" si="21"/>
        <v>UTC-10-0</v>
      </c>
      <c r="G91" s="1" t="s">
        <v>13</v>
      </c>
      <c r="H91" t="str">
        <f t="shared" si="14"/>
        <v xml:space="preserve">2:00 PM (14:00 / UTC-10) </v>
      </c>
      <c r="I91" t="e">
        <f t="shared" si="15"/>
        <v>#N/A</v>
      </c>
      <c r="J91" t="e">
        <f t="shared" si="22"/>
        <v>#N/A</v>
      </c>
      <c r="K91" t="e">
        <f t="shared" si="23"/>
        <v>#N/A</v>
      </c>
      <c r="M91" t="e">
        <f t="shared" si="24"/>
        <v>#N/A</v>
      </c>
      <c r="N91" t="e">
        <f t="shared" si="25"/>
        <v>#N/A</v>
      </c>
      <c r="O91" t="e">
        <f t="shared" si="26"/>
        <v>#N/A</v>
      </c>
    </row>
    <row r="92" spans="1:15" x14ac:dyDescent="0.55000000000000004">
      <c r="A92" t="b">
        <f t="shared" si="16"/>
        <v>1</v>
      </c>
      <c r="B92">
        <f t="shared" si="17"/>
        <v>1</v>
      </c>
      <c r="C92" s="3" t="str">
        <f t="shared" si="18"/>
        <v>2:00 PM (14:00 / UTC-10) — Hawaii-Aleutian Standard Time</v>
      </c>
      <c r="D92" s="3" t="str">
        <f t="shared" si="19"/>
        <v>14:00 / UTC-10</v>
      </c>
      <c r="E92" t="str">
        <f t="shared" si="20"/>
        <v>UTC-10</v>
      </c>
      <c r="F92" t="str">
        <f t="shared" si="21"/>
        <v>UTC-10-1</v>
      </c>
      <c r="G92" s="2" t="s">
        <v>121</v>
      </c>
      <c r="H92" t="str">
        <f t="shared" si="14"/>
        <v xml:space="preserve">Honolulu, United States [N] </v>
      </c>
      <c r="I92" t="str">
        <f t="shared" si="15"/>
        <v>345,000 (Urban Honolulu)</v>
      </c>
      <c r="J92" t="str">
        <f t="shared" si="22"/>
        <v>N</v>
      </c>
      <c r="K92" t="str">
        <f t="shared" si="23"/>
        <v>Honolulu</v>
      </c>
      <c r="M92" t="str">
        <f t="shared" si="24"/>
        <v>N</v>
      </c>
      <c r="N92" t="str">
        <f t="shared" si="25"/>
        <v>Honolulu-N</v>
      </c>
      <c r="O92">
        <f t="shared" si="26"/>
        <v>10</v>
      </c>
    </row>
    <row r="93" spans="1:15" x14ac:dyDescent="0.55000000000000004">
      <c r="A93" t="b">
        <f t="shared" si="16"/>
        <v>0</v>
      </c>
      <c r="B93">
        <f t="shared" si="17"/>
        <v>0</v>
      </c>
      <c r="C93" s="3" t="str">
        <f t="shared" si="18"/>
        <v>3:00 PM (15:00 / UTC-9) — Alaska Standard Time</v>
      </c>
      <c r="D93" s="3" t="str">
        <f t="shared" si="19"/>
        <v>15:00 / UTC-9</v>
      </c>
      <c r="E93" t="str">
        <f t="shared" si="20"/>
        <v>UTC-9</v>
      </c>
      <c r="F93" t="str">
        <f t="shared" si="21"/>
        <v>UTC-9-0</v>
      </c>
      <c r="G93" s="1" t="s">
        <v>14</v>
      </c>
      <c r="H93" t="str">
        <f t="shared" si="14"/>
        <v xml:space="preserve">3:00 PM (15:00 / UTC-9) </v>
      </c>
      <c r="I93" t="e">
        <f t="shared" si="15"/>
        <v>#N/A</v>
      </c>
      <c r="J93" t="e">
        <f t="shared" si="22"/>
        <v>#N/A</v>
      </c>
      <c r="K93" t="e">
        <f t="shared" si="23"/>
        <v>#N/A</v>
      </c>
      <c r="M93" t="e">
        <f t="shared" si="24"/>
        <v>#N/A</v>
      </c>
      <c r="N93" t="e">
        <f t="shared" si="25"/>
        <v>#N/A</v>
      </c>
      <c r="O93" t="e">
        <f t="shared" si="26"/>
        <v>#N/A</v>
      </c>
    </row>
    <row r="94" spans="1:15" x14ac:dyDescent="0.55000000000000004">
      <c r="A94" t="b">
        <f t="shared" si="16"/>
        <v>1</v>
      </c>
      <c r="B94">
        <f t="shared" si="17"/>
        <v>1</v>
      </c>
      <c r="C94" s="3" t="str">
        <f t="shared" si="18"/>
        <v>3:00 PM (15:00 / UTC-9) — Alaska Standard Time</v>
      </c>
      <c r="D94" s="3" t="str">
        <f t="shared" si="19"/>
        <v>15:00 / UTC-9</v>
      </c>
      <c r="E94" t="str">
        <f t="shared" si="20"/>
        <v>UTC-9</v>
      </c>
      <c r="F94" t="str">
        <f t="shared" si="21"/>
        <v>UTC-9-1</v>
      </c>
      <c r="G94" s="2" t="s">
        <v>122</v>
      </c>
      <c r="H94" t="str">
        <f t="shared" si="14"/>
        <v xml:space="preserve">Anchorage, United States [N] </v>
      </c>
      <c r="I94" t="str">
        <f t="shared" si="15"/>
        <v>287,000</v>
      </c>
      <c r="J94" t="str">
        <f t="shared" si="22"/>
        <v>N</v>
      </c>
      <c r="K94" t="str">
        <f t="shared" si="23"/>
        <v>Anchorage</v>
      </c>
      <c r="M94" t="str">
        <f t="shared" si="24"/>
        <v>N</v>
      </c>
      <c r="N94" t="str">
        <f t="shared" si="25"/>
        <v>Anchorage-N</v>
      </c>
      <c r="O94">
        <f t="shared" si="26"/>
        <v>11</v>
      </c>
    </row>
    <row r="95" spans="1:15" x14ac:dyDescent="0.55000000000000004">
      <c r="A95" t="b">
        <f t="shared" si="16"/>
        <v>0</v>
      </c>
      <c r="B95">
        <f t="shared" si="17"/>
        <v>0</v>
      </c>
      <c r="C95" s="3" t="str">
        <f t="shared" si="18"/>
        <v>4:00 PM (16:00 / UTC-8) — Pacific Standard Time (PST)</v>
      </c>
      <c r="D95" s="3" t="str">
        <f t="shared" si="19"/>
        <v>16:00 / UTC-8</v>
      </c>
      <c r="E95" t="str">
        <f t="shared" si="20"/>
        <v>UTC-8</v>
      </c>
      <c r="F95" t="str">
        <f t="shared" si="21"/>
        <v>UTC-8-0</v>
      </c>
      <c r="G95" s="1" t="s">
        <v>15</v>
      </c>
      <c r="H95" t="str">
        <f t="shared" si="14"/>
        <v xml:space="preserve">4:00 PM (16:00 / UTC-8) </v>
      </c>
      <c r="I95" t="e">
        <f t="shared" si="15"/>
        <v>#N/A</v>
      </c>
      <c r="J95" t="e">
        <f t="shared" si="22"/>
        <v>#N/A</v>
      </c>
      <c r="K95" t="e">
        <f t="shared" si="23"/>
        <v>#N/A</v>
      </c>
      <c r="M95" t="e">
        <f t="shared" si="24"/>
        <v>#N/A</v>
      </c>
      <c r="N95" t="e">
        <f t="shared" si="25"/>
        <v>#N/A</v>
      </c>
      <c r="O95" t="e">
        <f t="shared" si="26"/>
        <v>#N/A</v>
      </c>
    </row>
    <row r="96" spans="1:15" x14ac:dyDescent="0.55000000000000004">
      <c r="A96" t="b">
        <f t="shared" si="16"/>
        <v>1</v>
      </c>
      <c r="B96">
        <f t="shared" si="17"/>
        <v>1</v>
      </c>
      <c r="C96" s="3" t="str">
        <f t="shared" si="18"/>
        <v>4:00 PM (16:00 / UTC-8) — Pacific Standard Time (PST)</v>
      </c>
      <c r="D96" s="3" t="str">
        <f t="shared" si="19"/>
        <v>16:00 / UTC-8</v>
      </c>
      <c r="E96" t="str">
        <f t="shared" si="20"/>
        <v>UTC-8</v>
      </c>
      <c r="F96" t="str">
        <f t="shared" si="21"/>
        <v>UTC-8-1</v>
      </c>
      <c r="G96" s="2" t="s">
        <v>123</v>
      </c>
      <c r="H96" t="str">
        <f t="shared" si="14"/>
        <v xml:space="preserve">Los Angeles, United States [N] </v>
      </c>
      <c r="I96" t="str">
        <f t="shared" si="15"/>
        <v>3.8 million</v>
      </c>
      <c r="J96" t="str">
        <f t="shared" si="22"/>
        <v>N</v>
      </c>
      <c r="K96" t="str">
        <f t="shared" si="23"/>
        <v>Los Angeles</v>
      </c>
      <c r="M96" t="str">
        <f t="shared" si="24"/>
        <v>N</v>
      </c>
      <c r="N96" t="str">
        <f t="shared" si="25"/>
        <v>Los Angeles-N</v>
      </c>
      <c r="O96">
        <f t="shared" si="26"/>
        <v>13</v>
      </c>
    </row>
    <row r="97" spans="1:15" x14ac:dyDescent="0.55000000000000004">
      <c r="A97" t="b">
        <f t="shared" si="16"/>
        <v>1</v>
      </c>
      <c r="B97">
        <f t="shared" si="17"/>
        <v>2</v>
      </c>
      <c r="C97" s="3" t="str">
        <f t="shared" si="18"/>
        <v>4:00 PM (16:00 / UTC-8) — Pacific Standard Time (PST)</v>
      </c>
      <c r="D97" s="3" t="str">
        <f t="shared" si="19"/>
        <v>16:00 / UTC-8</v>
      </c>
      <c r="E97" t="str">
        <f t="shared" si="20"/>
        <v>UTC-8</v>
      </c>
      <c r="F97" t="str">
        <f t="shared" si="21"/>
        <v>UTC-8-2</v>
      </c>
      <c r="G97" s="2" t="s">
        <v>124</v>
      </c>
      <c r="H97" t="str">
        <f t="shared" si="14"/>
        <v xml:space="preserve">Tijuana, Mexico [N] </v>
      </c>
      <c r="I97" t="str">
        <f t="shared" si="15"/>
        <v>1.8 million</v>
      </c>
      <c r="J97" t="str">
        <f t="shared" si="22"/>
        <v>N</v>
      </c>
      <c r="K97" t="str">
        <f t="shared" si="23"/>
        <v>Tijuana</v>
      </c>
      <c r="M97" t="str">
        <f t="shared" si="24"/>
        <v>N</v>
      </c>
      <c r="N97" t="str">
        <f t="shared" si="25"/>
        <v>Tijuana-N</v>
      </c>
      <c r="O97">
        <f t="shared" si="26"/>
        <v>9</v>
      </c>
    </row>
    <row r="98" spans="1:15" x14ac:dyDescent="0.55000000000000004">
      <c r="A98" t="b">
        <f t="shared" si="16"/>
        <v>1</v>
      </c>
      <c r="B98">
        <f t="shared" si="17"/>
        <v>3</v>
      </c>
      <c r="C98" s="3" t="str">
        <f t="shared" si="18"/>
        <v>4:00 PM (16:00 / UTC-8) — Pacific Standard Time (PST)</v>
      </c>
      <c r="D98" s="3" t="str">
        <f t="shared" si="19"/>
        <v>16:00 / UTC-8</v>
      </c>
      <c r="E98" t="str">
        <f t="shared" si="20"/>
        <v>UTC-8</v>
      </c>
      <c r="F98" t="str">
        <f t="shared" si="21"/>
        <v>UTC-8-3</v>
      </c>
      <c r="G98" s="2" t="s">
        <v>125</v>
      </c>
      <c r="H98" t="str">
        <f t="shared" si="14"/>
        <v xml:space="preserve">San Francisco, United States [N] </v>
      </c>
      <c r="I98" t="str">
        <f t="shared" si="15"/>
        <v>810,000</v>
      </c>
      <c r="J98" t="str">
        <f t="shared" si="22"/>
        <v>N</v>
      </c>
      <c r="K98" t="str">
        <f t="shared" si="23"/>
        <v>San Francisco</v>
      </c>
      <c r="M98" t="str">
        <f t="shared" si="24"/>
        <v>N</v>
      </c>
      <c r="N98" t="str">
        <f t="shared" si="25"/>
        <v>San Francisco-N</v>
      </c>
      <c r="O98">
        <f t="shared" si="26"/>
        <v>15</v>
      </c>
    </row>
    <row r="99" spans="1:15" x14ac:dyDescent="0.55000000000000004">
      <c r="A99" t="b">
        <f t="shared" si="16"/>
        <v>1</v>
      </c>
      <c r="B99">
        <f t="shared" si="17"/>
        <v>4</v>
      </c>
      <c r="C99" s="3" t="str">
        <f t="shared" si="18"/>
        <v>4:00 PM (16:00 / UTC-8) — Pacific Standard Time (PST)</v>
      </c>
      <c r="D99" s="3" t="str">
        <f t="shared" si="19"/>
        <v>16:00 / UTC-8</v>
      </c>
      <c r="E99" t="str">
        <f t="shared" si="20"/>
        <v>UTC-8</v>
      </c>
      <c r="F99" t="str">
        <f t="shared" si="21"/>
        <v>UTC-8-4</v>
      </c>
      <c r="G99" s="2" t="s">
        <v>126</v>
      </c>
      <c r="H99" t="str">
        <f t="shared" si="14"/>
        <v xml:space="preserve">Seattle, United States [N] </v>
      </c>
      <c r="I99" t="str">
        <f t="shared" si="15"/>
        <v>750,000</v>
      </c>
      <c r="J99" t="str">
        <f t="shared" si="22"/>
        <v>N</v>
      </c>
      <c r="K99" t="str">
        <f t="shared" si="23"/>
        <v>Seattle</v>
      </c>
      <c r="M99" t="str">
        <f t="shared" si="24"/>
        <v>N</v>
      </c>
      <c r="N99" t="str">
        <f t="shared" si="25"/>
        <v>Seattle-N</v>
      </c>
      <c r="O99">
        <f t="shared" si="26"/>
        <v>9</v>
      </c>
    </row>
    <row r="100" spans="1:15" x14ac:dyDescent="0.55000000000000004">
      <c r="A100" t="b">
        <f t="shared" si="16"/>
        <v>1</v>
      </c>
      <c r="B100">
        <f t="shared" si="17"/>
        <v>5</v>
      </c>
      <c r="C100" s="3" t="str">
        <f t="shared" si="18"/>
        <v>4:00 PM (16:00 / UTC-8) — Pacific Standard Time (PST)</v>
      </c>
      <c r="D100" s="3" t="str">
        <f t="shared" si="19"/>
        <v>16:00 / UTC-8</v>
      </c>
      <c r="E100" t="str">
        <f t="shared" si="20"/>
        <v>UTC-8</v>
      </c>
      <c r="F100" t="str">
        <f t="shared" si="21"/>
        <v>UTC-8-5</v>
      </c>
      <c r="G100" s="2" t="s">
        <v>127</v>
      </c>
      <c r="H100" t="str">
        <f t="shared" si="14"/>
        <v xml:space="preserve">Vancouver, Canada [N] </v>
      </c>
      <c r="I100" t="str">
        <f t="shared" si="15"/>
        <v>660,000 (Metro: ~2.6M)</v>
      </c>
      <c r="J100" t="str">
        <f t="shared" si="22"/>
        <v>N</v>
      </c>
      <c r="K100" t="str">
        <f t="shared" si="23"/>
        <v>Vancouver</v>
      </c>
      <c r="M100" t="str">
        <f t="shared" si="24"/>
        <v>N</v>
      </c>
      <c r="N100" t="str">
        <f t="shared" si="25"/>
        <v>Vancouver-N</v>
      </c>
      <c r="O100">
        <f t="shared" si="26"/>
        <v>11</v>
      </c>
    </row>
    <row r="101" spans="1:15" x14ac:dyDescent="0.55000000000000004">
      <c r="A101" t="b">
        <f t="shared" si="16"/>
        <v>0</v>
      </c>
      <c r="B101">
        <f t="shared" si="17"/>
        <v>0</v>
      </c>
      <c r="C101" s="3" t="str">
        <f t="shared" si="18"/>
        <v>5:00 PM (17:00 / UTC-7) — Mountain Standard Time (MST)</v>
      </c>
      <c r="D101" s="3" t="str">
        <f t="shared" si="19"/>
        <v>17:00 / UTC-7</v>
      </c>
      <c r="E101" t="str">
        <f t="shared" si="20"/>
        <v>UTC-7</v>
      </c>
      <c r="F101" t="str">
        <f t="shared" si="21"/>
        <v>UTC-7-0</v>
      </c>
      <c r="G101" s="1" t="s">
        <v>16</v>
      </c>
      <c r="H101" t="str">
        <f t="shared" si="14"/>
        <v xml:space="preserve">5:00 PM (17:00 / UTC-7) </v>
      </c>
      <c r="I101" t="e">
        <f t="shared" si="15"/>
        <v>#N/A</v>
      </c>
      <c r="J101" t="e">
        <f t="shared" si="22"/>
        <v>#N/A</v>
      </c>
      <c r="K101" t="e">
        <f t="shared" si="23"/>
        <v>#N/A</v>
      </c>
      <c r="M101" t="e">
        <f t="shared" si="24"/>
        <v>#N/A</v>
      </c>
      <c r="N101" t="e">
        <f t="shared" si="25"/>
        <v>#N/A</v>
      </c>
      <c r="O101" t="e">
        <f t="shared" si="26"/>
        <v>#N/A</v>
      </c>
    </row>
    <row r="102" spans="1:15" x14ac:dyDescent="0.55000000000000004">
      <c r="A102" t="b">
        <f t="shared" si="16"/>
        <v>1</v>
      </c>
      <c r="B102">
        <f t="shared" si="17"/>
        <v>1</v>
      </c>
      <c r="C102" s="3" t="str">
        <f t="shared" si="18"/>
        <v>5:00 PM (17:00 / UTC-7) — Mountain Standard Time (MST)</v>
      </c>
      <c r="D102" s="3" t="str">
        <f t="shared" si="19"/>
        <v>17:00 / UTC-7</v>
      </c>
      <c r="E102" t="str">
        <f t="shared" si="20"/>
        <v>UTC-7</v>
      </c>
      <c r="F102" t="str">
        <f t="shared" si="21"/>
        <v>UTC-7-1</v>
      </c>
      <c r="G102" s="2" t="s">
        <v>128</v>
      </c>
      <c r="H102" t="str">
        <f t="shared" si="14"/>
        <v xml:space="preserve">Phoenix, United States [N] </v>
      </c>
      <c r="I102" t="str">
        <f t="shared" si="15"/>
        <v>1.6 million</v>
      </c>
      <c r="J102" t="str">
        <f t="shared" si="22"/>
        <v>N</v>
      </c>
      <c r="K102" t="str">
        <f t="shared" si="23"/>
        <v>Phoenix</v>
      </c>
      <c r="M102" t="str">
        <f t="shared" si="24"/>
        <v>N</v>
      </c>
      <c r="N102" t="str">
        <f t="shared" si="25"/>
        <v>Phoenix-N</v>
      </c>
      <c r="O102">
        <f t="shared" si="26"/>
        <v>9</v>
      </c>
    </row>
    <row r="103" spans="1:15" x14ac:dyDescent="0.55000000000000004">
      <c r="A103" t="b">
        <f t="shared" si="16"/>
        <v>1</v>
      </c>
      <c r="B103">
        <f t="shared" si="17"/>
        <v>2</v>
      </c>
      <c r="C103" s="3" t="str">
        <f t="shared" si="18"/>
        <v>5:00 PM (17:00 / UTC-7) — Mountain Standard Time (MST)</v>
      </c>
      <c r="D103" s="3" t="str">
        <f t="shared" si="19"/>
        <v>17:00 / UTC-7</v>
      </c>
      <c r="E103" t="str">
        <f t="shared" si="20"/>
        <v>UTC-7</v>
      </c>
      <c r="F103" t="str">
        <f t="shared" si="21"/>
        <v>UTC-7-2</v>
      </c>
      <c r="G103" s="2" t="s">
        <v>129</v>
      </c>
      <c r="H103" t="str">
        <f t="shared" si="14"/>
        <v xml:space="preserve">Ciudad Juárez, Mexico [N] </v>
      </c>
      <c r="I103" t="str">
        <f t="shared" si="15"/>
        <v>1.5 million</v>
      </c>
      <c r="J103" t="str">
        <f t="shared" si="22"/>
        <v>N</v>
      </c>
      <c r="K103" t="str">
        <f t="shared" si="23"/>
        <v>Ciudad Juárez</v>
      </c>
      <c r="M103" t="str">
        <f t="shared" si="24"/>
        <v>N</v>
      </c>
      <c r="N103" t="str">
        <f t="shared" si="25"/>
        <v>Ciudad Juárez-N</v>
      </c>
      <c r="O103">
        <f t="shared" si="26"/>
        <v>15</v>
      </c>
    </row>
    <row r="104" spans="1:15" x14ac:dyDescent="0.55000000000000004">
      <c r="A104" t="b">
        <f t="shared" si="16"/>
        <v>1</v>
      </c>
      <c r="B104">
        <f t="shared" si="17"/>
        <v>3</v>
      </c>
      <c r="C104" s="3" t="str">
        <f t="shared" si="18"/>
        <v>5:00 PM (17:00 / UTC-7) — Mountain Standard Time (MST)</v>
      </c>
      <c r="D104" s="3" t="str">
        <f t="shared" si="19"/>
        <v>17:00 / UTC-7</v>
      </c>
      <c r="E104" t="str">
        <f t="shared" si="20"/>
        <v>UTC-7</v>
      </c>
      <c r="F104" t="str">
        <f t="shared" si="21"/>
        <v>UTC-7-3</v>
      </c>
      <c r="G104" s="2" t="s">
        <v>130</v>
      </c>
      <c r="H104" t="str">
        <f t="shared" si="14"/>
        <v xml:space="preserve">Calgary, Canada [N] </v>
      </c>
      <c r="I104" t="str">
        <f t="shared" si="15"/>
        <v>1.3 million</v>
      </c>
      <c r="J104" t="str">
        <f t="shared" si="22"/>
        <v>N</v>
      </c>
      <c r="K104" t="str">
        <f t="shared" si="23"/>
        <v>Calgary</v>
      </c>
      <c r="M104" t="str">
        <f t="shared" si="24"/>
        <v>N</v>
      </c>
      <c r="N104" t="str">
        <f t="shared" si="25"/>
        <v>Calgary-N</v>
      </c>
      <c r="O104">
        <f t="shared" si="26"/>
        <v>9</v>
      </c>
    </row>
    <row r="105" spans="1:15" x14ac:dyDescent="0.55000000000000004">
      <c r="A105" t="b">
        <f t="shared" si="16"/>
        <v>1</v>
      </c>
      <c r="B105">
        <f t="shared" si="17"/>
        <v>4</v>
      </c>
      <c r="C105" s="3" t="str">
        <f t="shared" si="18"/>
        <v>5:00 PM (17:00 / UTC-7) — Mountain Standard Time (MST)</v>
      </c>
      <c r="D105" s="3" t="str">
        <f t="shared" si="19"/>
        <v>17:00 / UTC-7</v>
      </c>
      <c r="E105" t="str">
        <f t="shared" si="20"/>
        <v>UTC-7</v>
      </c>
      <c r="F105" t="str">
        <f t="shared" si="21"/>
        <v>UTC-7-4</v>
      </c>
      <c r="G105" s="2" t="s">
        <v>131</v>
      </c>
      <c r="H105" t="str">
        <f t="shared" si="14"/>
        <v xml:space="preserve">Edmonton, Canada [N] </v>
      </c>
      <c r="I105" t="str">
        <f t="shared" si="15"/>
        <v>1.0 million</v>
      </c>
      <c r="J105" t="str">
        <f t="shared" si="22"/>
        <v>N</v>
      </c>
      <c r="K105" t="str">
        <f t="shared" si="23"/>
        <v>Edmonton</v>
      </c>
      <c r="M105" t="str">
        <f t="shared" si="24"/>
        <v>N</v>
      </c>
      <c r="N105" t="str">
        <f t="shared" si="25"/>
        <v>Edmonton-N</v>
      </c>
      <c r="O105">
        <f t="shared" si="26"/>
        <v>10</v>
      </c>
    </row>
    <row r="106" spans="1:15" x14ac:dyDescent="0.55000000000000004">
      <c r="A106" t="b">
        <f t="shared" si="16"/>
        <v>1</v>
      </c>
      <c r="B106">
        <f t="shared" si="17"/>
        <v>5</v>
      </c>
      <c r="C106" s="3" t="str">
        <f t="shared" si="18"/>
        <v>5:00 PM (17:00 / UTC-7) — Mountain Standard Time (MST)</v>
      </c>
      <c r="D106" s="3" t="str">
        <f t="shared" si="19"/>
        <v>17:00 / UTC-7</v>
      </c>
      <c r="E106" t="str">
        <f t="shared" si="20"/>
        <v>UTC-7</v>
      </c>
      <c r="F106" t="str">
        <f t="shared" si="21"/>
        <v>UTC-7-5</v>
      </c>
      <c r="G106" s="2" t="s">
        <v>132</v>
      </c>
      <c r="H106" t="str">
        <f t="shared" si="14"/>
        <v xml:space="preserve">Denver, United States [N] </v>
      </c>
      <c r="I106" t="str">
        <f t="shared" si="15"/>
        <v>710,000</v>
      </c>
      <c r="J106" t="str">
        <f t="shared" si="22"/>
        <v>N</v>
      </c>
      <c r="K106" t="str">
        <f t="shared" si="23"/>
        <v>Denver</v>
      </c>
      <c r="M106" t="str">
        <f t="shared" si="24"/>
        <v>N</v>
      </c>
      <c r="N106" t="str">
        <f t="shared" si="25"/>
        <v>Denver-N</v>
      </c>
      <c r="O106">
        <f t="shared" si="26"/>
        <v>8</v>
      </c>
    </row>
    <row r="107" spans="1:15" x14ac:dyDescent="0.55000000000000004">
      <c r="A107" t="b">
        <f t="shared" si="16"/>
        <v>0</v>
      </c>
      <c r="B107">
        <f t="shared" si="17"/>
        <v>0</v>
      </c>
      <c r="C107" s="3" t="str">
        <f t="shared" si="18"/>
        <v>6:00 PM (18:00 / UTC-6) — Central Standard Time (CST)</v>
      </c>
      <c r="D107" s="3" t="str">
        <f t="shared" si="19"/>
        <v>18:00 / UTC-6</v>
      </c>
      <c r="E107" t="str">
        <f t="shared" si="20"/>
        <v>UTC-6</v>
      </c>
      <c r="F107" t="str">
        <f t="shared" si="21"/>
        <v>UTC-6-0</v>
      </c>
      <c r="G107" s="1" t="s">
        <v>17</v>
      </c>
      <c r="H107" t="str">
        <f t="shared" si="14"/>
        <v xml:space="preserve">6:00 PM (18:00 / UTC-6) </v>
      </c>
      <c r="I107" t="e">
        <f t="shared" si="15"/>
        <v>#N/A</v>
      </c>
      <c r="J107" t="e">
        <f t="shared" si="22"/>
        <v>#N/A</v>
      </c>
      <c r="K107" t="e">
        <f t="shared" si="23"/>
        <v>#N/A</v>
      </c>
      <c r="M107" t="e">
        <f t="shared" si="24"/>
        <v>#N/A</v>
      </c>
      <c r="N107" t="e">
        <f t="shared" si="25"/>
        <v>#N/A</v>
      </c>
      <c r="O107" t="e">
        <f t="shared" si="26"/>
        <v>#N/A</v>
      </c>
    </row>
    <row r="108" spans="1:15" x14ac:dyDescent="0.55000000000000004">
      <c r="A108" t="b">
        <f t="shared" si="16"/>
        <v>1</v>
      </c>
      <c r="B108">
        <f t="shared" si="17"/>
        <v>1</v>
      </c>
      <c r="C108" s="3" t="str">
        <f t="shared" si="18"/>
        <v>6:00 PM (18:00 / UTC-6) — Central Standard Time (CST)</v>
      </c>
      <c r="D108" s="3" t="str">
        <f t="shared" si="19"/>
        <v>18:00 / UTC-6</v>
      </c>
      <c r="E108" t="str">
        <f t="shared" si="20"/>
        <v>UTC-6</v>
      </c>
      <c r="F108" t="str">
        <f t="shared" si="21"/>
        <v>UTC-6-1</v>
      </c>
      <c r="G108" s="2" t="s">
        <v>133</v>
      </c>
      <c r="H108" t="str">
        <f t="shared" si="14"/>
        <v xml:space="preserve">Mexico City, Mexico [N] </v>
      </c>
      <c r="I108" t="str">
        <f t="shared" si="15"/>
        <v>9.2 million</v>
      </c>
      <c r="J108" t="str">
        <f t="shared" si="22"/>
        <v>N</v>
      </c>
      <c r="K108" t="str">
        <f t="shared" si="23"/>
        <v>Mexico City</v>
      </c>
      <c r="M108" t="str">
        <f t="shared" si="24"/>
        <v>N</v>
      </c>
      <c r="N108" t="str">
        <f t="shared" si="25"/>
        <v>Mexico City-N</v>
      </c>
      <c r="O108">
        <f t="shared" si="26"/>
        <v>13</v>
      </c>
    </row>
    <row r="109" spans="1:15" x14ac:dyDescent="0.55000000000000004">
      <c r="A109" t="b">
        <f t="shared" si="16"/>
        <v>1</v>
      </c>
      <c r="B109">
        <f t="shared" si="17"/>
        <v>2</v>
      </c>
      <c r="C109" s="3" t="str">
        <f t="shared" si="18"/>
        <v>6:00 PM (18:00 / UTC-6) — Central Standard Time (CST)</v>
      </c>
      <c r="D109" s="3" t="str">
        <f t="shared" si="19"/>
        <v>18:00 / UTC-6</v>
      </c>
      <c r="E109" t="str">
        <f t="shared" si="20"/>
        <v>UTC-6</v>
      </c>
      <c r="F109" t="str">
        <f t="shared" si="21"/>
        <v>UTC-6-2</v>
      </c>
      <c r="G109" s="2" t="s">
        <v>134</v>
      </c>
      <c r="H109" t="str">
        <f t="shared" si="14"/>
        <v xml:space="preserve">Chicago, United States [N] </v>
      </c>
      <c r="I109" t="str">
        <f t="shared" si="15"/>
        <v>2.6 million</v>
      </c>
      <c r="J109" t="str">
        <f t="shared" si="22"/>
        <v>N</v>
      </c>
      <c r="K109" t="str">
        <f t="shared" si="23"/>
        <v>Chicago</v>
      </c>
      <c r="M109" t="str">
        <f t="shared" si="24"/>
        <v>N</v>
      </c>
      <c r="N109" t="str">
        <f t="shared" si="25"/>
        <v>Chicago-N</v>
      </c>
      <c r="O109">
        <f t="shared" si="26"/>
        <v>9</v>
      </c>
    </row>
    <row r="110" spans="1:15" x14ac:dyDescent="0.55000000000000004">
      <c r="A110" t="b">
        <f t="shared" si="16"/>
        <v>1</v>
      </c>
      <c r="B110">
        <f t="shared" si="17"/>
        <v>3</v>
      </c>
      <c r="C110" s="3" t="str">
        <f t="shared" si="18"/>
        <v>6:00 PM (18:00 / UTC-6) — Central Standard Time (CST)</v>
      </c>
      <c r="D110" s="3" t="str">
        <f t="shared" si="19"/>
        <v>18:00 / UTC-6</v>
      </c>
      <c r="E110" t="str">
        <f t="shared" si="20"/>
        <v>UTC-6</v>
      </c>
      <c r="F110" t="str">
        <f t="shared" si="21"/>
        <v>UTC-6-3</v>
      </c>
      <c r="G110" s="2" t="s">
        <v>135</v>
      </c>
      <c r="H110" t="str">
        <f t="shared" si="14"/>
        <v xml:space="preserve">Houston, United States [N] </v>
      </c>
      <c r="I110" t="str">
        <f t="shared" si="15"/>
        <v>2.3 million</v>
      </c>
      <c r="J110" t="str">
        <f t="shared" si="22"/>
        <v>N</v>
      </c>
      <c r="K110" t="str">
        <f t="shared" si="23"/>
        <v>Houston</v>
      </c>
      <c r="M110" t="str">
        <f t="shared" si="24"/>
        <v>N</v>
      </c>
      <c r="N110" t="str">
        <f t="shared" si="25"/>
        <v>Houston-N</v>
      </c>
      <c r="O110">
        <f t="shared" si="26"/>
        <v>9</v>
      </c>
    </row>
    <row r="111" spans="1:15" x14ac:dyDescent="0.55000000000000004">
      <c r="A111" t="b">
        <f t="shared" si="16"/>
        <v>1</v>
      </c>
      <c r="B111">
        <f t="shared" si="17"/>
        <v>4</v>
      </c>
      <c r="C111" s="3" t="str">
        <f t="shared" si="18"/>
        <v>6:00 PM (18:00 / UTC-6) — Central Standard Time (CST)</v>
      </c>
      <c r="D111" s="3" t="str">
        <f t="shared" si="19"/>
        <v>18:00 / UTC-6</v>
      </c>
      <c r="E111" t="str">
        <f t="shared" si="20"/>
        <v>UTC-6</v>
      </c>
      <c r="F111" t="str">
        <f t="shared" si="21"/>
        <v>UTC-6-4</v>
      </c>
      <c r="G111" s="2" t="s">
        <v>136</v>
      </c>
      <c r="H111" t="str">
        <f t="shared" si="14"/>
        <v xml:space="preserve">Dallas, United States [N] </v>
      </c>
      <c r="I111" t="str">
        <f t="shared" si="15"/>
        <v>1.3 million</v>
      </c>
      <c r="J111" t="str">
        <f t="shared" si="22"/>
        <v>N</v>
      </c>
      <c r="K111" t="str">
        <f t="shared" si="23"/>
        <v>Dallas</v>
      </c>
      <c r="M111" t="str">
        <f t="shared" si="24"/>
        <v>N</v>
      </c>
      <c r="N111" t="str">
        <f t="shared" si="25"/>
        <v>Dallas-N</v>
      </c>
      <c r="O111">
        <f t="shared" si="26"/>
        <v>8</v>
      </c>
    </row>
    <row r="112" spans="1:15" x14ac:dyDescent="0.55000000000000004">
      <c r="A112" t="b">
        <f t="shared" si="16"/>
        <v>1</v>
      </c>
      <c r="B112">
        <f t="shared" si="17"/>
        <v>5</v>
      </c>
      <c r="C112" s="3" t="str">
        <f t="shared" si="18"/>
        <v>6:00 PM (18:00 / UTC-6) — Central Standard Time (CST)</v>
      </c>
      <c r="D112" s="3" t="str">
        <f t="shared" si="19"/>
        <v>18:00 / UTC-6</v>
      </c>
      <c r="E112" t="str">
        <f t="shared" si="20"/>
        <v>UTC-6</v>
      </c>
      <c r="F112" t="str">
        <f t="shared" si="21"/>
        <v>UTC-6-5</v>
      </c>
      <c r="G112" s="2" t="s">
        <v>173</v>
      </c>
      <c r="H112" t="str">
        <f t="shared" si="14"/>
        <v xml:space="preserve">Guatemala, Guatemala [N] </v>
      </c>
      <c r="I112" t="str">
        <f t="shared" si="15"/>
        <v>1.2 million</v>
      </c>
      <c r="J112" t="str">
        <f t="shared" si="22"/>
        <v>N</v>
      </c>
      <c r="K112" t="str">
        <f t="shared" si="23"/>
        <v>Guatemala</v>
      </c>
      <c r="M112" t="str">
        <f t="shared" si="24"/>
        <v>N</v>
      </c>
      <c r="N112" t="str">
        <f t="shared" si="25"/>
        <v>Guatemala-N</v>
      </c>
      <c r="O112">
        <f t="shared" si="26"/>
        <v>11</v>
      </c>
    </row>
    <row r="113" spans="1:15" x14ac:dyDescent="0.55000000000000004">
      <c r="A113" t="b">
        <f t="shared" si="16"/>
        <v>1</v>
      </c>
      <c r="B113">
        <f t="shared" si="17"/>
        <v>6</v>
      </c>
      <c r="C113" s="3" t="str">
        <f t="shared" si="18"/>
        <v>6:00 PM (18:00 / UTC-6) — Central Standard Time (CST)</v>
      </c>
      <c r="D113" s="3" t="str">
        <f t="shared" si="19"/>
        <v>18:00 / UTC-6</v>
      </c>
      <c r="E113" t="str">
        <f t="shared" si="20"/>
        <v>UTC-6</v>
      </c>
      <c r="F113" t="str">
        <f t="shared" si="21"/>
        <v>UTC-6-6</v>
      </c>
      <c r="G113" s="2" t="s">
        <v>137</v>
      </c>
      <c r="H113" t="str">
        <f t="shared" si="14"/>
        <v xml:space="preserve">San Salvador, El Salvador [N] </v>
      </c>
      <c r="I113" t="str">
        <f t="shared" si="15"/>
        <v>570,000</v>
      </c>
      <c r="J113" t="str">
        <f t="shared" si="22"/>
        <v>N</v>
      </c>
      <c r="K113" t="str">
        <f t="shared" si="23"/>
        <v>San Salvador</v>
      </c>
      <c r="M113" t="str">
        <f t="shared" si="24"/>
        <v>N</v>
      </c>
      <c r="N113" t="str">
        <f t="shared" si="25"/>
        <v>San Salvador-N</v>
      </c>
      <c r="O113">
        <f t="shared" si="26"/>
        <v>14</v>
      </c>
    </row>
    <row r="114" spans="1:15" x14ac:dyDescent="0.55000000000000004">
      <c r="A114" t="b">
        <f t="shared" si="16"/>
        <v>0</v>
      </c>
      <c r="B114">
        <f t="shared" si="17"/>
        <v>0</v>
      </c>
      <c r="C114" s="3" t="str">
        <f t="shared" si="18"/>
        <v>7:00 PM (19:00 / UTC-5) — Eastern Standard Time (EST)</v>
      </c>
      <c r="D114" s="3" t="str">
        <f t="shared" si="19"/>
        <v>19:00 / UTC-5</v>
      </c>
      <c r="E114" t="str">
        <f t="shared" si="20"/>
        <v>UTC-5</v>
      </c>
      <c r="F114" t="str">
        <f t="shared" si="21"/>
        <v>UTC-5-0</v>
      </c>
      <c r="G114" s="1" t="s">
        <v>18</v>
      </c>
      <c r="H114" t="str">
        <f t="shared" si="14"/>
        <v xml:space="preserve">7:00 PM (19:00 / UTC-5) </v>
      </c>
      <c r="I114" t="e">
        <f t="shared" si="15"/>
        <v>#N/A</v>
      </c>
      <c r="J114" t="e">
        <f t="shared" si="22"/>
        <v>#N/A</v>
      </c>
      <c r="K114" t="e">
        <f t="shared" si="23"/>
        <v>#N/A</v>
      </c>
      <c r="M114" t="e">
        <f t="shared" si="24"/>
        <v>#N/A</v>
      </c>
      <c r="N114" t="e">
        <f t="shared" si="25"/>
        <v>#N/A</v>
      </c>
      <c r="O114" t="e">
        <f t="shared" si="26"/>
        <v>#N/A</v>
      </c>
    </row>
    <row r="115" spans="1:15" x14ac:dyDescent="0.55000000000000004">
      <c r="A115" t="b">
        <f t="shared" si="16"/>
        <v>1</v>
      </c>
      <c r="B115">
        <f t="shared" si="17"/>
        <v>1</v>
      </c>
      <c r="C115" s="3" t="str">
        <f t="shared" si="18"/>
        <v>7:00 PM (19:00 / UTC-5) — Eastern Standard Time (EST)</v>
      </c>
      <c r="D115" s="3" t="str">
        <f t="shared" si="19"/>
        <v>19:00 / UTC-5</v>
      </c>
      <c r="E115" t="str">
        <f t="shared" si="20"/>
        <v>UTC-5</v>
      </c>
      <c r="F115" t="str">
        <f t="shared" si="21"/>
        <v>UTC-5-1</v>
      </c>
      <c r="G115" s="2" t="s">
        <v>138</v>
      </c>
      <c r="H115" t="str">
        <f t="shared" si="14"/>
        <v xml:space="preserve">Lima, Peru [S] </v>
      </c>
      <c r="I115" t="str">
        <f t="shared" si="15"/>
        <v>9.7 million</v>
      </c>
      <c r="J115" t="str">
        <f t="shared" si="22"/>
        <v>S</v>
      </c>
      <c r="K115" t="str">
        <f t="shared" si="23"/>
        <v>Lima</v>
      </c>
      <c r="M115" t="str">
        <f t="shared" si="24"/>
        <v>S</v>
      </c>
      <c r="N115" t="str">
        <f t="shared" si="25"/>
        <v>Lima-S</v>
      </c>
      <c r="O115">
        <f t="shared" si="26"/>
        <v>6</v>
      </c>
    </row>
    <row r="116" spans="1:15" x14ac:dyDescent="0.55000000000000004">
      <c r="A116" t="b">
        <f t="shared" si="16"/>
        <v>1</v>
      </c>
      <c r="B116">
        <f t="shared" si="17"/>
        <v>2</v>
      </c>
      <c r="C116" s="3" t="str">
        <f t="shared" si="18"/>
        <v>7:00 PM (19:00 / UTC-5) — Eastern Standard Time (EST)</v>
      </c>
      <c r="D116" s="3" t="str">
        <f t="shared" si="19"/>
        <v>19:00 / UTC-5</v>
      </c>
      <c r="E116" t="str">
        <f t="shared" si="20"/>
        <v>UTC-5</v>
      </c>
      <c r="F116" t="str">
        <f t="shared" si="21"/>
        <v>UTC-5-2</v>
      </c>
      <c r="G116" s="2" t="s">
        <v>139</v>
      </c>
      <c r="H116" t="str">
        <f t="shared" si="14"/>
        <v xml:space="preserve">New York City, United States [N] </v>
      </c>
      <c r="I116" t="str">
        <f t="shared" si="15"/>
        <v>8.5 million</v>
      </c>
      <c r="J116" t="str">
        <f t="shared" si="22"/>
        <v>N</v>
      </c>
      <c r="K116" t="str">
        <f t="shared" si="23"/>
        <v>New York City</v>
      </c>
      <c r="M116" t="str">
        <f t="shared" si="24"/>
        <v>N</v>
      </c>
      <c r="N116" t="str">
        <f t="shared" si="25"/>
        <v>New York City-N</v>
      </c>
      <c r="O116">
        <f t="shared" si="26"/>
        <v>15</v>
      </c>
    </row>
    <row r="117" spans="1:15" x14ac:dyDescent="0.55000000000000004">
      <c r="A117" t="b">
        <f t="shared" si="16"/>
        <v>1</v>
      </c>
      <c r="B117">
        <f t="shared" si="17"/>
        <v>3</v>
      </c>
      <c r="C117" s="3" t="str">
        <f t="shared" si="18"/>
        <v>7:00 PM (19:00 / UTC-5) — Eastern Standard Time (EST)</v>
      </c>
      <c r="D117" s="3" t="str">
        <f t="shared" si="19"/>
        <v>19:00 / UTC-5</v>
      </c>
      <c r="E117" t="str">
        <f t="shared" si="20"/>
        <v>UTC-5</v>
      </c>
      <c r="F117" t="str">
        <f t="shared" si="21"/>
        <v>UTC-5-3</v>
      </c>
      <c r="G117" s="2" t="s">
        <v>140</v>
      </c>
      <c r="H117" t="str">
        <f t="shared" si="14"/>
        <v xml:space="preserve">Bogotá, Colombia [N] </v>
      </c>
      <c r="I117" t="str">
        <f t="shared" si="15"/>
        <v>7.9 million</v>
      </c>
      <c r="J117" t="str">
        <f t="shared" si="22"/>
        <v>N</v>
      </c>
      <c r="K117" t="str">
        <f t="shared" si="23"/>
        <v>Bogotá</v>
      </c>
      <c r="M117" t="str">
        <f t="shared" si="24"/>
        <v>N</v>
      </c>
      <c r="N117" t="str">
        <f t="shared" si="25"/>
        <v>Bogotá-N</v>
      </c>
      <c r="O117">
        <f t="shared" si="26"/>
        <v>8</v>
      </c>
    </row>
    <row r="118" spans="1:15" x14ac:dyDescent="0.55000000000000004">
      <c r="A118" t="b">
        <f t="shared" si="16"/>
        <v>1</v>
      </c>
      <c r="B118">
        <f t="shared" si="17"/>
        <v>4</v>
      </c>
      <c r="C118" s="3" t="str">
        <f t="shared" si="18"/>
        <v>7:00 PM (19:00 / UTC-5) — Eastern Standard Time (EST)</v>
      </c>
      <c r="D118" s="3" t="str">
        <f t="shared" si="19"/>
        <v>19:00 / UTC-5</v>
      </c>
      <c r="E118" t="str">
        <f t="shared" si="20"/>
        <v>UTC-5</v>
      </c>
      <c r="F118" t="str">
        <f t="shared" si="21"/>
        <v>UTC-5-4</v>
      </c>
      <c r="G118" s="2" t="s">
        <v>141</v>
      </c>
      <c r="H118" t="str">
        <f t="shared" si="14"/>
        <v xml:space="preserve">Toronto, Canada [N] </v>
      </c>
      <c r="I118" t="str">
        <f t="shared" si="15"/>
        <v>2.8 million</v>
      </c>
      <c r="J118" t="str">
        <f t="shared" si="22"/>
        <v>N</v>
      </c>
      <c r="K118" t="str">
        <f t="shared" si="23"/>
        <v>Toronto</v>
      </c>
      <c r="M118" t="str">
        <f t="shared" si="24"/>
        <v>N</v>
      </c>
      <c r="N118" t="str">
        <f t="shared" si="25"/>
        <v>Toronto-N</v>
      </c>
      <c r="O118">
        <f t="shared" si="26"/>
        <v>9</v>
      </c>
    </row>
    <row r="119" spans="1:15" x14ac:dyDescent="0.55000000000000004">
      <c r="A119" t="b">
        <f t="shared" si="16"/>
        <v>1</v>
      </c>
      <c r="B119">
        <f t="shared" si="17"/>
        <v>5</v>
      </c>
      <c r="C119" s="3" t="str">
        <f t="shared" si="18"/>
        <v>7:00 PM (19:00 / UTC-5) — Eastern Standard Time (EST)</v>
      </c>
      <c r="D119" s="3" t="str">
        <f t="shared" si="19"/>
        <v>19:00 / UTC-5</v>
      </c>
      <c r="E119" t="str">
        <f t="shared" si="20"/>
        <v>UTC-5</v>
      </c>
      <c r="F119" t="str">
        <f t="shared" si="21"/>
        <v>UTC-5-5</v>
      </c>
      <c r="G119" s="2" t="s">
        <v>142</v>
      </c>
      <c r="H119" t="str">
        <f t="shared" si="14"/>
        <v xml:space="preserve">Havana, Cuba [N] </v>
      </c>
      <c r="I119" t="str">
        <f t="shared" si="15"/>
        <v>2.1 million</v>
      </c>
      <c r="J119" t="str">
        <f t="shared" si="22"/>
        <v>N</v>
      </c>
      <c r="K119" t="str">
        <f t="shared" si="23"/>
        <v>Havana</v>
      </c>
      <c r="M119" t="str">
        <f t="shared" si="24"/>
        <v>N</v>
      </c>
      <c r="N119" t="str">
        <f t="shared" si="25"/>
        <v>Havana-N</v>
      </c>
      <c r="O119">
        <f t="shared" si="26"/>
        <v>8</v>
      </c>
    </row>
    <row r="120" spans="1:15" x14ac:dyDescent="0.55000000000000004">
      <c r="A120" t="b">
        <f t="shared" si="16"/>
        <v>1</v>
      </c>
      <c r="B120">
        <f t="shared" si="17"/>
        <v>6</v>
      </c>
      <c r="C120" s="3" t="str">
        <f t="shared" si="18"/>
        <v>7:00 PM (19:00 / UTC-5) — Eastern Standard Time (EST)</v>
      </c>
      <c r="D120" s="3" t="str">
        <f t="shared" si="19"/>
        <v>19:00 / UTC-5</v>
      </c>
      <c r="E120" t="str">
        <f t="shared" si="20"/>
        <v>UTC-5</v>
      </c>
      <c r="F120" t="str">
        <f t="shared" si="21"/>
        <v>UTC-5-6</v>
      </c>
      <c r="G120" s="2" t="s">
        <v>143</v>
      </c>
      <c r="H120" t="str">
        <f t="shared" si="14"/>
        <v xml:space="preserve">Montreal, Canada [N] </v>
      </c>
      <c r="I120" t="str">
        <f t="shared" si="15"/>
        <v>1.8 million</v>
      </c>
      <c r="J120" t="str">
        <f t="shared" si="22"/>
        <v>N</v>
      </c>
      <c r="K120" t="str">
        <f t="shared" si="23"/>
        <v>Montreal</v>
      </c>
      <c r="M120" t="str">
        <f t="shared" si="24"/>
        <v>N</v>
      </c>
      <c r="N120" t="str">
        <f t="shared" si="25"/>
        <v>Montreal-N</v>
      </c>
      <c r="O120">
        <f t="shared" si="26"/>
        <v>10</v>
      </c>
    </row>
    <row r="121" spans="1:15" x14ac:dyDescent="0.55000000000000004">
      <c r="A121" t="b">
        <f t="shared" si="16"/>
        <v>0</v>
      </c>
      <c r="B121">
        <f t="shared" si="17"/>
        <v>0</v>
      </c>
      <c r="C121" s="3" t="str">
        <f t="shared" si="18"/>
        <v>8:00 PM (20:00 / UTC-4) — Atlantic / Western South America Time</v>
      </c>
      <c r="D121" s="3" t="str">
        <f t="shared" si="19"/>
        <v>20:00 / UTC-4</v>
      </c>
      <c r="E121" t="str">
        <f t="shared" si="20"/>
        <v>UTC-4</v>
      </c>
      <c r="F121" t="str">
        <f t="shared" si="21"/>
        <v>UTC-4-0</v>
      </c>
      <c r="G121" s="1" t="s">
        <v>19</v>
      </c>
      <c r="H121" t="str">
        <f t="shared" si="14"/>
        <v xml:space="preserve">8:00 PM (20:00 / UTC-4) </v>
      </c>
      <c r="I121" t="e">
        <f t="shared" si="15"/>
        <v>#N/A</v>
      </c>
      <c r="J121" t="e">
        <f t="shared" si="22"/>
        <v>#N/A</v>
      </c>
      <c r="K121" t="e">
        <f t="shared" si="23"/>
        <v>#N/A</v>
      </c>
      <c r="M121" t="e">
        <f t="shared" si="24"/>
        <v>#N/A</v>
      </c>
      <c r="N121" t="e">
        <f t="shared" si="25"/>
        <v>#N/A</v>
      </c>
      <c r="O121" t="e">
        <f t="shared" si="26"/>
        <v>#N/A</v>
      </c>
    </row>
    <row r="122" spans="1:15" x14ac:dyDescent="0.55000000000000004">
      <c r="A122" t="b">
        <f t="shared" si="16"/>
        <v>1</v>
      </c>
      <c r="B122">
        <f t="shared" si="17"/>
        <v>1</v>
      </c>
      <c r="C122" s="3" t="str">
        <f t="shared" si="18"/>
        <v>8:00 PM (20:00 / UTC-4) — Atlantic / Western South America Time</v>
      </c>
      <c r="D122" s="3" t="str">
        <f t="shared" si="19"/>
        <v>20:00 / UTC-4</v>
      </c>
      <c r="E122" t="str">
        <f t="shared" si="20"/>
        <v>UTC-4</v>
      </c>
      <c r="F122" t="str">
        <f t="shared" si="21"/>
        <v>UTC-4-1</v>
      </c>
      <c r="G122" s="2" t="s">
        <v>144</v>
      </c>
      <c r="H122" t="str">
        <f t="shared" si="14"/>
        <v xml:space="preserve">Santiago, Chile [S] </v>
      </c>
      <c r="I122" t="str">
        <f t="shared" si="15"/>
        <v>6.3 million</v>
      </c>
      <c r="J122" t="str">
        <f t="shared" si="22"/>
        <v>S</v>
      </c>
      <c r="K122" t="str">
        <f t="shared" si="23"/>
        <v>Santiago</v>
      </c>
      <c r="M122" t="str">
        <f t="shared" si="24"/>
        <v>S</v>
      </c>
      <c r="N122" t="str">
        <f t="shared" si="25"/>
        <v>Santiago-S</v>
      </c>
      <c r="O122">
        <f t="shared" si="26"/>
        <v>10</v>
      </c>
    </row>
    <row r="123" spans="1:15" x14ac:dyDescent="0.55000000000000004">
      <c r="A123" t="b">
        <f t="shared" si="16"/>
        <v>1</v>
      </c>
      <c r="B123">
        <f t="shared" si="17"/>
        <v>2</v>
      </c>
      <c r="C123" s="3" t="str">
        <f t="shared" si="18"/>
        <v>8:00 PM (20:00 / UTC-4) — Atlantic / Western South America Time</v>
      </c>
      <c r="D123" s="3" t="str">
        <f t="shared" si="19"/>
        <v>20:00 / UTC-4</v>
      </c>
      <c r="E123" t="str">
        <f t="shared" si="20"/>
        <v>UTC-4</v>
      </c>
      <c r="F123" t="str">
        <f t="shared" si="21"/>
        <v>UTC-4-2</v>
      </c>
      <c r="G123" s="2" t="s">
        <v>145</v>
      </c>
      <c r="H123" t="str">
        <f t="shared" si="14"/>
        <v xml:space="preserve">Caracas, Venezuela [N] </v>
      </c>
      <c r="I123" t="str">
        <f t="shared" si="15"/>
        <v>2.9 million</v>
      </c>
      <c r="J123" t="str">
        <f t="shared" si="22"/>
        <v>N</v>
      </c>
      <c r="K123" t="str">
        <f t="shared" si="23"/>
        <v>Caracas</v>
      </c>
      <c r="M123" t="str">
        <f t="shared" si="24"/>
        <v>N</v>
      </c>
      <c r="N123" t="str">
        <f t="shared" si="25"/>
        <v>Caracas-N</v>
      </c>
      <c r="O123">
        <f t="shared" si="26"/>
        <v>9</v>
      </c>
    </row>
    <row r="124" spans="1:15" x14ac:dyDescent="0.55000000000000004">
      <c r="A124" t="b">
        <f t="shared" si="16"/>
        <v>1</v>
      </c>
      <c r="B124">
        <f t="shared" si="17"/>
        <v>3</v>
      </c>
      <c r="C124" s="3" t="str">
        <f t="shared" si="18"/>
        <v>8:00 PM (20:00 / UTC-4) — Atlantic / Western South America Time</v>
      </c>
      <c r="D124" s="3" t="str">
        <f t="shared" si="19"/>
        <v>20:00 / UTC-4</v>
      </c>
      <c r="E124" t="str">
        <f t="shared" si="20"/>
        <v>UTC-4</v>
      </c>
      <c r="F124" t="str">
        <f t="shared" si="21"/>
        <v>UTC-4-3</v>
      </c>
      <c r="G124" s="2" t="s">
        <v>146</v>
      </c>
      <c r="H124" t="str">
        <f t="shared" si="14"/>
        <v xml:space="preserve">Manaus, Brazil [S] </v>
      </c>
      <c r="I124" t="str">
        <f t="shared" si="15"/>
        <v>2.3 million</v>
      </c>
      <c r="J124" t="str">
        <f t="shared" si="22"/>
        <v>S</v>
      </c>
      <c r="K124" t="str">
        <f t="shared" si="23"/>
        <v>Manaus</v>
      </c>
      <c r="M124" t="str">
        <f t="shared" si="24"/>
        <v>S</v>
      </c>
      <c r="N124" t="str">
        <f t="shared" si="25"/>
        <v>Manaus-S</v>
      </c>
      <c r="O124">
        <f t="shared" si="26"/>
        <v>8</v>
      </c>
    </row>
    <row r="125" spans="1:15" x14ac:dyDescent="0.55000000000000004">
      <c r="A125" t="b">
        <f t="shared" si="16"/>
        <v>1</v>
      </c>
      <c r="B125">
        <f t="shared" si="17"/>
        <v>4</v>
      </c>
      <c r="C125" s="3" t="str">
        <f t="shared" si="18"/>
        <v>8:00 PM (20:00 / UTC-4) — Atlantic / Western South America Time</v>
      </c>
      <c r="D125" s="3" t="str">
        <f t="shared" si="19"/>
        <v>20:00 / UTC-4</v>
      </c>
      <c r="E125" t="str">
        <f t="shared" si="20"/>
        <v>UTC-4</v>
      </c>
      <c r="F125" t="str">
        <f t="shared" si="21"/>
        <v>UTC-4-4</v>
      </c>
      <c r="G125" s="2" t="s">
        <v>174</v>
      </c>
      <c r="H125" t="str">
        <f t="shared" si="14"/>
        <v xml:space="preserve">Santa Cruz, Bolivia [S] </v>
      </c>
      <c r="I125" t="str">
        <f t="shared" si="15"/>
        <v>1.4 million</v>
      </c>
      <c r="J125" t="str">
        <f t="shared" si="22"/>
        <v>S</v>
      </c>
      <c r="K125" t="str">
        <f t="shared" si="23"/>
        <v>Santa Cruz</v>
      </c>
      <c r="M125" t="str">
        <f t="shared" si="24"/>
        <v>S</v>
      </c>
      <c r="N125" t="str">
        <f t="shared" si="25"/>
        <v>Santa Cruz-S</v>
      </c>
      <c r="O125">
        <f t="shared" si="26"/>
        <v>12</v>
      </c>
    </row>
    <row r="126" spans="1:15" x14ac:dyDescent="0.55000000000000004">
      <c r="A126" t="b">
        <f t="shared" si="16"/>
        <v>1</v>
      </c>
      <c r="B126">
        <f t="shared" si="17"/>
        <v>5</v>
      </c>
      <c r="C126" s="3" t="str">
        <f t="shared" si="18"/>
        <v>8:00 PM (20:00 / UTC-4) — Atlantic / Western South America Time</v>
      </c>
      <c r="D126" s="3" t="str">
        <f t="shared" si="19"/>
        <v>20:00 / UTC-4</v>
      </c>
      <c r="E126" t="str">
        <f t="shared" si="20"/>
        <v>UTC-4</v>
      </c>
      <c r="F126" t="str">
        <f t="shared" si="21"/>
        <v>UTC-4-5</v>
      </c>
      <c r="G126" s="2" t="s">
        <v>147</v>
      </c>
      <c r="H126" t="str">
        <f t="shared" si="14"/>
        <v xml:space="preserve">Santo Domingo, Dominican Republic [N] </v>
      </c>
      <c r="I126" t="str">
        <f t="shared" si="15"/>
        <v>1.4 million</v>
      </c>
      <c r="J126" t="str">
        <f t="shared" si="22"/>
        <v>N</v>
      </c>
      <c r="K126" t="str">
        <f t="shared" si="23"/>
        <v>Santo Domingo</v>
      </c>
      <c r="M126" t="str">
        <f t="shared" si="24"/>
        <v>N</v>
      </c>
      <c r="N126" t="str">
        <f t="shared" si="25"/>
        <v>Santo Domingo-N</v>
      </c>
      <c r="O126">
        <f t="shared" si="26"/>
        <v>15</v>
      </c>
    </row>
    <row r="127" spans="1:15" x14ac:dyDescent="0.55000000000000004">
      <c r="A127" t="b">
        <f t="shared" si="16"/>
        <v>1</v>
      </c>
      <c r="B127">
        <f t="shared" si="17"/>
        <v>6</v>
      </c>
      <c r="C127" s="3" t="str">
        <f t="shared" si="18"/>
        <v>8:00 PM (20:00 / UTC-4) — Atlantic / Western South America Time</v>
      </c>
      <c r="D127" s="3" t="str">
        <f t="shared" si="19"/>
        <v>20:00 / UTC-4</v>
      </c>
      <c r="E127" t="str">
        <f t="shared" si="20"/>
        <v>UTC-4</v>
      </c>
      <c r="F127" t="str">
        <f t="shared" si="21"/>
        <v>UTC-4-6</v>
      </c>
      <c r="G127" s="2" t="s">
        <v>148</v>
      </c>
      <c r="H127" t="str">
        <f t="shared" si="14"/>
        <v xml:space="preserve">La Paz, Bolivia [S] </v>
      </c>
      <c r="I127" t="str">
        <f t="shared" si="15"/>
        <v>800,000</v>
      </c>
      <c r="J127" t="str">
        <f t="shared" si="22"/>
        <v>S</v>
      </c>
      <c r="K127" t="str">
        <f t="shared" si="23"/>
        <v>La Paz</v>
      </c>
      <c r="M127" t="str">
        <f t="shared" si="24"/>
        <v>S</v>
      </c>
      <c r="N127" t="str">
        <f t="shared" si="25"/>
        <v>La Paz-S</v>
      </c>
      <c r="O127">
        <f t="shared" si="26"/>
        <v>8</v>
      </c>
    </row>
    <row r="128" spans="1:15" x14ac:dyDescent="0.55000000000000004">
      <c r="A128" t="b">
        <f t="shared" si="16"/>
        <v>0</v>
      </c>
      <c r="B128">
        <f t="shared" si="17"/>
        <v>0</v>
      </c>
      <c r="C128" s="3" t="str">
        <f t="shared" si="18"/>
        <v>9:00 PM (21:00 / UTC-3) — Brasilia / Argentina Time</v>
      </c>
      <c r="D128" s="3" t="str">
        <f t="shared" si="19"/>
        <v>21:00 / UTC-3</v>
      </c>
      <c r="E128" t="str">
        <f t="shared" si="20"/>
        <v>UTC-3</v>
      </c>
      <c r="F128" t="str">
        <f t="shared" si="21"/>
        <v>UTC-3-0</v>
      </c>
      <c r="G128" s="1" t="s">
        <v>20</v>
      </c>
      <c r="H128" t="str">
        <f t="shared" si="14"/>
        <v xml:space="preserve">9:00 PM (21:00 / UTC-3) </v>
      </c>
      <c r="I128" t="e">
        <f t="shared" si="15"/>
        <v>#N/A</v>
      </c>
      <c r="J128" t="e">
        <f t="shared" si="22"/>
        <v>#N/A</v>
      </c>
      <c r="K128" t="e">
        <f t="shared" si="23"/>
        <v>#N/A</v>
      </c>
      <c r="M128" t="e">
        <f t="shared" si="24"/>
        <v>#N/A</v>
      </c>
      <c r="N128" t="e">
        <f t="shared" si="25"/>
        <v>#N/A</v>
      </c>
      <c r="O128" t="e">
        <f t="shared" si="26"/>
        <v>#N/A</v>
      </c>
    </row>
    <row r="129" spans="1:15" x14ac:dyDescent="0.55000000000000004">
      <c r="A129" t="b">
        <f t="shared" si="16"/>
        <v>1</v>
      </c>
      <c r="B129">
        <f t="shared" si="17"/>
        <v>1</v>
      </c>
      <c r="C129" s="3" t="str">
        <f t="shared" si="18"/>
        <v>9:00 PM (21:00 / UTC-3) — Brasilia / Argentina Time</v>
      </c>
      <c r="D129" s="3" t="str">
        <f t="shared" si="19"/>
        <v>21:00 / UTC-3</v>
      </c>
      <c r="E129" t="str">
        <f t="shared" si="20"/>
        <v>UTC-3</v>
      </c>
      <c r="F129" t="str">
        <f t="shared" si="21"/>
        <v>UTC-3-1</v>
      </c>
      <c r="G129" s="2" t="s">
        <v>149</v>
      </c>
      <c r="H129" t="str">
        <f t="shared" si="14"/>
        <v xml:space="preserve">São Paulo, Brazil [S] </v>
      </c>
      <c r="I129" t="str">
        <f t="shared" si="15"/>
        <v>12.3 million</v>
      </c>
      <c r="J129" t="str">
        <f t="shared" si="22"/>
        <v>S</v>
      </c>
      <c r="K129" t="str">
        <f t="shared" si="23"/>
        <v>São Paulo</v>
      </c>
      <c r="M129" t="str">
        <f t="shared" si="24"/>
        <v>S</v>
      </c>
      <c r="N129" t="str">
        <f t="shared" si="25"/>
        <v>São Paulo-S</v>
      </c>
      <c r="O129">
        <f t="shared" si="26"/>
        <v>11</v>
      </c>
    </row>
    <row r="130" spans="1:15" x14ac:dyDescent="0.55000000000000004">
      <c r="A130" t="b">
        <f t="shared" si="16"/>
        <v>1</v>
      </c>
      <c r="B130">
        <f t="shared" si="17"/>
        <v>2</v>
      </c>
      <c r="C130" s="3" t="str">
        <f t="shared" si="18"/>
        <v>9:00 PM (21:00 / UTC-3) — Brasilia / Argentina Time</v>
      </c>
      <c r="D130" s="3" t="str">
        <f t="shared" si="19"/>
        <v>21:00 / UTC-3</v>
      </c>
      <c r="E130" t="str">
        <f t="shared" si="20"/>
        <v>UTC-3</v>
      </c>
      <c r="F130" t="str">
        <f t="shared" si="21"/>
        <v>UTC-3-2</v>
      </c>
      <c r="G130" s="2" t="s">
        <v>175</v>
      </c>
      <c r="H130" t="str">
        <f t="shared" ref="H130:H138" si="27">_xlfn.TEXTBEFORE($G130,"—")</f>
        <v xml:space="preserve">Rio, Brazil [S] </v>
      </c>
      <c r="I130" t="str">
        <f t="shared" ref="I130:I138" si="28">_xlfn.TEXTAFTER($G130,"~")</f>
        <v>6.7 million</v>
      </c>
      <c r="J130" t="str">
        <f t="shared" si="22"/>
        <v>S</v>
      </c>
      <c r="K130" t="str">
        <f t="shared" si="23"/>
        <v>Rio</v>
      </c>
      <c r="M130" t="str">
        <f t="shared" si="24"/>
        <v>S</v>
      </c>
      <c r="N130" t="str">
        <f t="shared" si="25"/>
        <v>Rio-S</v>
      </c>
      <c r="O130">
        <f t="shared" si="26"/>
        <v>5</v>
      </c>
    </row>
    <row r="131" spans="1:15" x14ac:dyDescent="0.55000000000000004">
      <c r="A131" t="b">
        <f t="shared" ref="A131:A138" si="29">NOT(ISNUMBER(SEARCH("time",G131)))</f>
        <v>1</v>
      </c>
      <c r="B131">
        <f t="shared" ref="B131:B138" si="30">IF(A131=FALSE,0,IF(AND(A131,NOT(A130)),1,1+B130))</f>
        <v>3</v>
      </c>
      <c r="C131" s="3" t="str">
        <f t="shared" ref="C131:C138" si="31">IF(ISNUMBER(SEARCH("time",G131)),G131,C130)</f>
        <v>9:00 PM (21:00 / UTC-3) — Brasilia / Argentina Time</v>
      </c>
      <c r="D131" s="3" t="str">
        <f t="shared" ref="D131:D138" si="32">_xlfn.TEXTAFTER(_xlfn.TEXTBEFORE(C131,")"),"(")</f>
        <v>21:00 / UTC-3</v>
      </c>
      <c r="E131" t="str">
        <f t="shared" ref="E131:E138" si="33">IFERROR(_xlfn.TEXTAFTER(D131," / "),D131)</f>
        <v>UTC-3</v>
      </c>
      <c r="F131" t="str">
        <f t="shared" ref="F131:F138" si="34">E131&amp;"-"&amp;B131</f>
        <v>UTC-3-3</v>
      </c>
      <c r="G131" s="2" t="s">
        <v>150</v>
      </c>
      <c r="H131" t="str">
        <f t="shared" si="27"/>
        <v xml:space="preserve">Buenos Aires, Argentina [S] </v>
      </c>
      <c r="I131" t="str">
        <f t="shared" si="28"/>
        <v>3.1 million (Metro: ~15.3M)</v>
      </c>
      <c r="J131" t="str">
        <f t="shared" ref="J131:J138" si="35">_xlfn.TEXTBEFORE(_xlfn.TEXTAFTER(G131,"["),"]")</f>
        <v>S</v>
      </c>
      <c r="K131" t="str">
        <f t="shared" ref="K131:K138" si="36">_xlfn.TEXTBEFORE(G131,",")</f>
        <v>Buenos Aires</v>
      </c>
      <c r="M131" t="str">
        <f t="shared" si="24"/>
        <v>S</v>
      </c>
      <c r="N131" t="str">
        <f t="shared" si="25"/>
        <v>Buenos Aires-S</v>
      </c>
      <c r="O131">
        <f t="shared" si="26"/>
        <v>14</v>
      </c>
    </row>
    <row r="132" spans="1:15" x14ac:dyDescent="0.55000000000000004">
      <c r="A132" t="b">
        <f t="shared" si="29"/>
        <v>1</v>
      </c>
      <c r="B132">
        <f t="shared" si="30"/>
        <v>4</v>
      </c>
      <c r="C132" s="3" t="str">
        <f t="shared" si="31"/>
        <v>9:00 PM (21:00 / UTC-3) — Brasilia / Argentina Time</v>
      </c>
      <c r="D132" s="3" t="str">
        <f t="shared" si="32"/>
        <v>21:00 / UTC-3</v>
      </c>
      <c r="E132" t="str">
        <f t="shared" si="33"/>
        <v>UTC-3</v>
      </c>
      <c r="F132" t="str">
        <f t="shared" si="34"/>
        <v>UTC-3-4</v>
      </c>
      <c r="G132" s="2" t="s">
        <v>151</v>
      </c>
      <c r="H132" t="str">
        <f t="shared" si="27"/>
        <v xml:space="preserve">Salvador, Brazil [S] </v>
      </c>
      <c r="I132" t="str">
        <f t="shared" si="28"/>
        <v>2.9 million</v>
      </c>
      <c r="J132" t="str">
        <f t="shared" si="35"/>
        <v>S</v>
      </c>
      <c r="K132" t="str">
        <f t="shared" si="36"/>
        <v>Salvador</v>
      </c>
      <c r="M132" t="str">
        <f t="shared" ref="M132:M138" si="37">IF(L132&lt;&gt;"",L132,J132)</f>
        <v>S</v>
      </c>
      <c r="N132" t="str">
        <f t="shared" ref="N132:N138" si="38">K132&amp;"-"&amp;M132</f>
        <v>Salvador-S</v>
      </c>
      <c r="O132">
        <f t="shared" ref="O132:O138" si="39">LEN(N132)</f>
        <v>10</v>
      </c>
    </row>
    <row r="133" spans="1:15" x14ac:dyDescent="0.55000000000000004">
      <c r="A133" t="b">
        <f t="shared" si="29"/>
        <v>1</v>
      </c>
      <c r="B133">
        <f t="shared" si="30"/>
        <v>5</v>
      </c>
      <c r="C133" s="3" t="str">
        <f t="shared" si="31"/>
        <v>9:00 PM (21:00 / UTC-3) — Brasilia / Argentina Time</v>
      </c>
      <c r="D133" s="3" t="str">
        <f t="shared" si="32"/>
        <v>21:00 / UTC-3</v>
      </c>
      <c r="E133" t="str">
        <f t="shared" si="33"/>
        <v>UTC-3</v>
      </c>
      <c r="F133" t="str">
        <f t="shared" si="34"/>
        <v>UTC-3-5</v>
      </c>
      <c r="G133" s="2" t="s">
        <v>152</v>
      </c>
      <c r="H133" t="str">
        <f t="shared" si="27"/>
        <v xml:space="preserve">Montevideo, Uruguay [S] </v>
      </c>
      <c r="I133" t="str">
        <f t="shared" si="28"/>
        <v>1.4 million</v>
      </c>
      <c r="J133" t="str">
        <f t="shared" si="35"/>
        <v>S</v>
      </c>
      <c r="K133" t="str">
        <f t="shared" si="36"/>
        <v>Montevideo</v>
      </c>
      <c r="M133" t="str">
        <f t="shared" si="37"/>
        <v>S</v>
      </c>
      <c r="N133" t="str">
        <f t="shared" si="38"/>
        <v>Montevideo-S</v>
      </c>
      <c r="O133">
        <f t="shared" si="39"/>
        <v>12</v>
      </c>
    </row>
    <row r="134" spans="1:15" x14ac:dyDescent="0.55000000000000004">
      <c r="A134" t="b">
        <f t="shared" si="29"/>
        <v>0</v>
      </c>
      <c r="B134">
        <f t="shared" si="30"/>
        <v>0</v>
      </c>
      <c r="C134" s="3" t="str">
        <f t="shared" si="31"/>
        <v>10:00 PM (22:00 / UTC-2) — Mid-Atlantic Time</v>
      </c>
      <c r="D134" s="3" t="str">
        <f t="shared" si="32"/>
        <v>22:00 / UTC-2</v>
      </c>
      <c r="E134" t="str">
        <f t="shared" si="33"/>
        <v>UTC-2</v>
      </c>
      <c r="F134" t="str">
        <f t="shared" si="34"/>
        <v>UTC-2-0</v>
      </c>
      <c r="G134" s="1" t="s">
        <v>21</v>
      </c>
      <c r="H134" t="str">
        <f t="shared" si="27"/>
        <v xml:space="preserve">10:00 PM (22:00 / UTC-2) </v>
      </c>
      <c r="I134" t="e">
        <f t="shared" si="28"/>
        <v>#N/A</v>
      </c>
      <c r="J134" t="e">
        <f t="shared" si="35"/>
        <v>#N/A</v>
      </c>
      <c r="K134" t="e">
        <f t="shared" si="36"/>
        <v>#N/A</v>
      </c>
      <c r="M134" t="e">
        <f t="shared" si="37"/>
        <v>#N/A</v>
      </c>
      <c r="N134" t="e">
        <f t="shared" si="38"/>
        <v>#N/A</v>
      </c>
      <c r="O134" t="e">
        <f t="shared" si="39"/>
        <v>#N/A</v>
      </c>
    </row>
    <row r="135" spans="1:15" x14ac:dyDescent="0.55000000000000004">
      <c r="A135" t="b">
        <f t="shared" si="29"/>
        <v>1</v>
      </c>
      <c r="B135">
        <f t="shared" si="30"/>
        <v>1</v>
      </c>
      <c r="C135" s="3" t="str">
        <f t="shared" si="31"/>
        <v>10:00 PM (22:00 / UTC-2) — Mid-Atlantic Time</v>
      </c>
      <c r="D135" s="3" t="str">
        <f t="shared" si="32"/>
        <v>22:00 / UTC-2</v>
      </c>
      <c r="E135" t="str">
        <f t="shared" si="33"/>
        <v>UTC-2</v>
      </c>
      <c r="F135" t="str">
        <f t="shared" si="34"/>
        <v>UTC-2-1</v>
      </c>
      <c r="G135" s="2" t="s">
        <v>176</v>
      </c>
      <c r="H135" t="str">
        <f t="shared" si="27"/>
        <v xml:space="preserve">Noronha, Brazil [S] </v>
      </c>
      <c r="I135" t="str">
        <f t="shared" si="28"/>
        <v>3,100 (Note: Covers mostly open ocean and small island outposts; no major cities &gt;250,000 exist in UTC-2).</v>
      </c>
      <c r="J135" t="str">
        <f t="shared" si="35"/>
        <v>S</v>
      </c>
      <c r="K135" t="str">
        <f t="shared" si="36"/>
        <v>Noronha</v>
      </c>
      <c r="M135" t="str">
        <f t="shared" si="37"/>
        <v>S</v>
      </c>
      <c r="N135" t="str">
        <f t="shared" si="38"/>
        <v>Noronha-S</v>
      </c>
      <c r="O135">
        <f t="shared" si="39"/>
        <v>9</v>
      </c>
    </row>
    <row r="136" spans="1:15" x14ac:dyDescent="0.55000000000000004">
      <c r="A136" t="b">
        <f t="shared" si="29"/>
        <v>0</v>
      </c>
      <c r="B136">
        <f t="shared" si="30"/>
        <v>0</v>
      </c>
      <c r="C136" s="3" t="str">
        <f t="shared" si="31"/>
        <v>11:00 PM (23:00 / UTC-1) — Cape Verde / Azores Time</v>
      </c>
      <c r="D136" s="3" t="str">
        <f t="shared" si="32"/>
        <v>23:00 / UTC-1</v>
      </c>
      <c r="E136" t="str">
        <f t="shared" si="33"/>
        <v>UTC-1</v>
      </c>
      <c r="F136" t="str">
        <f t="shared" si="34"/>
        <v>UTC-1-0</v>
      </c>
      <c r="G136" s="1" t="s">
        <v>22</v>
      </c>
      <c r="H136" t="str">
        <f t="shared" si="27"/>
        <v xml:space="preserve">11:00 PM (23:00 / UTC-1) </v>
      </c>
      <c r="I136" t="e">
        <f t="shared" si="28"/>
        <v>#N/A</v>
      </c>
      <c r="J136" t="e">
        <f t="shared" si="35"/>
        <v>#N/A</v>
      </c>
      <c r="K136" t="e">
        <f t="shared" si="36"/>
        <v>#N/A</v>
      </c>
      <c r="M136" t="e">
        <f t="shared" si="37"/>
        <v>#N/A</v>
      </c>
      <c r="N136" t="e">
        <f t="shared" si="38"/>
        <v>#N/A</v>
      </c>
      <c r="O136" t="e">
        <f t="shared" si="39"/>
        <v>#N/A</v>
      </c>
    </row>
    <row r="137" spans="1:15" x14ac:dyDescent="0.55000000000000004">
      <c r="A137" t="b">
        <f t="shared" si="29"/>
        <v>1</v>
      </c>
      <c r="B137">
        <f t="shared" si="30"/>
        <v>1</v>
      </c>
      <c r="C137" s="3" t="str">
        <f t="shared" si="31"/>
        <v>11:00 PM (23:00 / UTC-1) — Cape Verde / Azores Time</v>
      </c>
      <c r="D137" s="3" t="str">
        <f t="shared" si="32"/>
        <v>23:00 / UTC-1</v>
      </c>
      <c r="E137" t="str">
        <f t="shared" si="33"/>
        <v>UTC-1</v>
      </c>
      <c r="F137" t="str">
        <f t="shared" si="34"/>
        <v>UTC-1-1</v>
      </c>
      <c r="G137" s="2" t="s">
        <v>153</v>
      </c>
      <c r="H137" t="str">
        <f t="shared" si="27"/>
        <v xml:space="preserve">Praia, Cape Verde [N] </v>
      </c>
      <c r="I137" t="str">
        <f t="shared" si="28"/>
        <v>160,000</v>
      </c>
      <c r="J137" t="str">
        <f t="shared" si="35"/>
        <v>N</v>
      </c>
      <c r="K137" t="str">
        <f t="shared" si="36"/>
        <v>Praia</v>
      </c>
      <c r="M137" t="str">
        <f t="shared" si="37"/>
        <v>N</v>
      </c>
      <c r="N137" t="str">
        <f t="shared" si="38"/>
        <v>Praia-N</v>
      </c>
      <c r="O137">
        <f t="shared" si="39"/>
        <v>7</v>
      </c>
    </row>
    <row r="138" spans="1:15" x14ac:dyDescent="0.55000000000000004">
      <c r="A138" t="b">
        <f t="shared" si="29"/>
        <v>1</v>
      </c>
      <c r="B138">
        <f t="shared" si="30"/>
        <v>2</v>
      </c>
      <c r="C138" s="3" t="str">
        <f t="shared" si="31"/>
        <v>11:00 PM (23:00 / UTC-1) — Cape Verde / Azores Time</v>
      </c>
      <c r="D138" s="3" t="str">
        <f t="shared" si="32"/>
        <v>23:00 / UTC-1</v>
      </c>
      <c r="E138" t="str">
        <f t="shared" si="33"/>
        <v>UTC-1</v>
      </c>
      <c r="F138" t="str">
        <f t="shared" si="34"/>
        <v>UTC-1-2</v>
      </c>
      <c r="G138" s="2" t="s">
        <v>154</v>
      </c>
      <c r="H138" t="str">
        <f t="shared" si="27"/>
        <v xml:space="preserve">Ponta Delgada, Azores (Portugal) [N] </v>
      </c>
      <c r="I138" t="str">
        <f t="shared" si="28"/>
        <v>68,000 (Note: Small island territories occupy UTC-1; no individual city exceeds 250,000 residents).</v>
      </c>
      <c r="J138" t="str">
        <f t="shared" si="35"/>
        <v>N</v>
      </c>
      <c r="K138" t="str">
        <f t="shared" si="36"/>
        <v>Ponta Delgada</v>
      </c>
      <c r="M138" t="str">
        <f t="shared" si="37"/>
        <v>N</v>
      </c>
      <c r="N138" t="str">
        <f t="shared" si="38"/>
        <v>Ponta Delgada-N</v>
      </c>
      <c r="O138">
        <f t="shared" si="39"/>
        <v>15</v>
      </c>
    </row>
  </sheetData>
  <autoFilter ref="A1:O138" xr:uid="{DF3C2B98-B4D8-47E3-844D-AC8BCC5543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FinalTab</vt:lpstr>
      <vt:lpstr>NorthSouth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Molloy</dc:creator>
  <cp:lastModifiedBy>David Molloy</cp:lastModifiedBy>
  <dcterms:created xsi:type="dcterms:W3CDTF">2026-08-06T18:54:07Z</dcterms:created>
  <dcterms:modified xsi:type="dcterms:W3CDTF">2026-08-08T19:45:27Z</dcterms:modified>
</cp:coreProperties>
</file>